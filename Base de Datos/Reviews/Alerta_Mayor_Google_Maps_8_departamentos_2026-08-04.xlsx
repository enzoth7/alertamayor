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8f6ffad71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b78f5c95dd14f02"/>
    <x:sheet xmlns:r="http://schemas.openxmlformats.org/officeDocument/2006/relationships" name="Casos_priorizados" sheetId="2" r:id="R1cace6cb0381409e"/>
    <x:sheet xmlns:r="http://schemas.openxmlformats.org/officeDocument/2006/relationships" name="Evidencia_reviews" sheetId="3" r:id="Re84f82eff26842fc"/>
    <x:sheet xmlns:r="http://schemas.openxmlformats.org/officeDocument/2006/relationships" name="Preseleccion_revisada" sheetId="4" r:id="Refbf12265a9742c7"/>
    <x:sheet xmlns:r="http://schemas.openxmlformats.org/officeDocument/2006/relationships" name="Cobertura" sheetId="5" r:id="Re11cf8d8cf4d4771"/>
    <x:sheet xmlns:r="http://schemas.openxmlformats.org/officeDocument/2006/relationships" name="Metodologia" sheetId="6" r:id="R9f408b419a68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6324F"/>
      <x:name val="Carlito"/>
    </x:font>
    <x:font>
      <x:b/>
      <x:sz val="11"/>
      <x:color rgb="FF16324F"/>
      <x:name val="Carlito"/>
    </x:font>
    <x:font>
      <x:sz val="11"/>
      <x:color rgb="FF16324F"/>
      <x:name val="Carlito"/>
    </x:font>
    <x:font>
      <x:i/>
      <x:sz val="11"/>
      <x:color rgb="FF6B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DEFF2"/>
      </x:patternFill>
    </x:fill>
    <x:fill>
      <x:patternFill patternType="solid">
        <x:fgColor rgb="FF0F6B78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3" fillId="3" borderId="0" xfId="0" applyNumberFormat="1" applyFont="1" applyFill="1" applyBorder="1"/>
    <x:xf numFmtId="200" fontId="3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B23A48"/>
      </x:font>
      <x:fill>
        <x:patternFill patternType="solid">
          <x:bgColor rgb="FFFCE8EA"/>
        </x:patternFill>
      </x:fill>
    </x:dxf>
    <x:dxf>
      <x:font>
        <x:b/>
        <x:color rgb="FF7A5100"/>
      </x:font>
      <x:fill>
        <x:patternFill patternType="solid">
          <x:bgColor rgb="FFFFF4D6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  <x:dxf>
      <x:font>
        <x:b/>
        <x:color rgb="FF2A7F62"/>
      </x:font>
      <x:fill>
        <x:patternFill patternType="solid">
          <x:bgColor rgb="FFE3F3EC"/>
        </x:patternFill>
      </x:fill>
    </x:dxf>
    <x:dxf>
      <x:font>
        <x:b/>
        <x:color rgb="FFB23A48"/>
      </x:font>
      <x:fill>
        <x:patternFill patternType="solid">
          <x:bgColor rgb="FFFCE8EA"/>
        </x:patternFill>
      </x:fill>
    </x:dxf>
    <x:dxf>
      <x:font>
        <x:b/>
        <x:color rgb="FFB23A48"/>
      </x:font>
      <x:fill>
        <x:patternFill patternType="solid">
          <x:bgColor rgb="FFFCE8EA"/>
        </x:patternFill>
      </x:fill>
    </x:dxf>
    <x:dxf>
      <x:font>
        <x:b/>
        <x:color rgb="FF7A5100"/>
      </x:font>
      <x:fill>
        <x:patternFill patternType="solid">
          <x:bgColor rgb="FFFFF4D6"/>
        </x:patternFill>
      </x:fill>
    </x:dxf>
    <x:dxf>
      <x:font>
        <x:b/>
        <x:color rgb="FF5B21B6"/>
      </x:font>
      <x:fill>
        <x:patternFill patternType="solid">
          <x:bgColor rgb="FFEDE9FE"/>
        </x:patternFill>
      </x:fill>
    </x:dxf>
    <x:dxf>
      <x:font>
        <x:b/>
        <x:color rgb="FFB23A48"/>
      </x:font>
      <x:fill>
        <x:patternFill patternType="solid">
          <x:bgColor rgb="FFFCE8EA"/>
        </x:patternFill>
      </x:fill>
    </x:dxf>
    <x:dxf>
      <x:font>
        <x:b/>
        <x:color rgb="FF7A51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13b3cbdaa4068" /><Relationship Type="http://schemas.openxmlformats.org/officeDocument/2006/relationships/theme" Target="/xl/theme/theme1.xml" Id="R4beb694f94164e8f" /><Relationship Type="http://schemas.openxmlformats.org/officeDocument/2006/relationships/sharedStrings" Target="/xl/sharedStrings.xml" Id="Rb9074f62a1284753" /><Relationship Type="http://schemas.openxmlformats.org/officeDocument/2006/relationships/worksheet" Target="/xl/worksheets/sheet1.xml" Id="Rbb78f5c95dd14f02" /><Relationship Type="http://schemas.openxmlformats.org/officeDocument/2006/relationships/worksheet" Target="/xl/worksheets/sheet2.xml" Id="R1cace6cb0381409e" /><Relationship Type="http://schemas.openxmlformats.org/officeDocument/2006/relationships/worksheet" Target="/xl/worksheets/sheet3.xml" Id="Re84f82eff26842fc" /><Relationship Type="http://schemas.openxmlformats.org/officeDocument/2006/relationships/worksheet" Target="/xl/worksheets/sheet4.xml" Id="Refbf12265a9742c7" /><Relationship Type="http://schemas.openxmlformats.org/officeDocument/2006/relationships/worksheet" Target="/xl/worksheets/sheet5.xml" Id="Re11cf8d8cf4d4771" /><Relationship Type="http://schemas.openxmlformats.org/officeDocument/2006/relationships/worksheet" Target="/xl/worksheets/sheet6.xml" Id="R9f408b419a6849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84d2b551d74c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Evidencias calificantes por departamento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Evidencias</c:v>
          </c:tx>
          <c:cat>
            <c:strRef>
              <c:f>'Resumen'!$A$14:$A$21</c:f>
              <c:strCache>
                <c:ptCount val="0"/>
              </c:strCache>
            </c:strRef>
          </c:cat>
          <c:val>
            <c:numRef>
              <c:f>'Resumen'!$B$14:$B$21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Recientes</c:v>
          </c:tx>
          <c:cat>
            <c:strRef>
              <c:f>'Resumen'!$A$14:$A$21</c:f>
              <c:strCache>
                <c:ptCount val="0"/>
              </c:strCache>
            </c:strRef>
          </c:cat>
          <c:val>
            <c:numRef>
              <c:f>'Resumen'!$C$14:$C$21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84d2b551d74c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iorityTable" displayName="PriorityTable" ref="A4:Q17" headerRowCount="1">
  <x:tableColumns count="17">
    <x:tableColumn id="1" name="Prioridad"/>
    <x:tableColumn id="2" name="Departamento"/>
    <x:tableColumn id="3" name="Lugar"/>
    <x:tableColumn id="4" name="Dirección"/>
    <x:tableColumn id="5" name="Rating Maps"/>
    <x:tableColumn id="6" name="Total reseñas"/>
    <x:tableColumn id="7" name="Reseñas extraídas"/>
    <x:tableColumn id="8" name="1–2★"/>
    <x:tableColumn id="9" name="1–2★ con texto"/>
    <x:tableColumn id="10" name="Evidencias calificantes"/>
    <x:tableColumn id="11" name="Evidencias recientes"/>
    <x:tableColumn id="12" name="Nivel de señal"/>
    <x:tableColumn id="13" name="Confianza"/>
    <x:tableColumn id="14" name="Aportes restringidos"/>
    <x:tableColumn id="15" name="Lectura metodológica"/>
    <x:tableColumn id="16" name="URL Google Maps"/>
    <x:tableColumn id="17" name="Place ID"/>
  </x:tableColumns>
  <x:tableStyleInfo name="TableStyleMedium2" showRowStripes="1"/>
</x:table>
</file>

<file path=xl/tables/table2.xml><?xml version="1.0" encoding="utf-8"?>
<x:table xmlns:x="http://schemas.openxmlformats.org/spreadsheetml/2006/main" id="2" name="EvidenceTable" displayName="EvidenceTable" ref="A4:M32" headerRowCount="1">
  <x:tableColumns count="13">
    <x:tableColumn id="1" name="Departamento"/>
    <x:tableColumn id="2" name="Lugar"/>
    <x:tableColumn id="3" name="Estrellas"/>
    <x:tableColumn id="4" name="Fecha"/>
    <x:tableColumn id="5" name="Últimos 24 meses"/>
    <x:tableColumn id="6" name="Nivel de detalle"/>
    <x:tableColumn id="7" name="Peso de evidencia"/>
    <x:tableColumn id="8" name="Temas alegados"/>
    <x:tableColumn id="9" name="Fragmento breve"/>
    <x:tableColumn id="10" name="Respondió el lugar"/>
    <x:tableColumn id="11" name="Nota de auditoría"/>
    <x:tableColumn id="12" name="URL reseña"/>
    <x:tableColumn id="13" name="URL ficha Google Maps"/>
  </x:tableColumns>
  <x:tableStyleInfo name="TableStyleMedium2" showRowStripes="1"/>
</x:table>
</file>

<file path=xl/tables/table3.xml><?xml version="1.0" encoding="utf-8"?>
<x:table xmlns:x="http://schemas.openxmlformats.org/spreadsheetml/2006/main" id="3" name="PreselectionTable" displayName="PreselectionTable" ref="A4:M32" headerRowCount="1">
  <x:tableColumns count="13">
    <x:tableColumn id="1" name="Departamento"/>
    <x:tableColumn id="2" name="Lugar"/>
    <x:tableColumn id="3" name="Rating"/>
    <x:tableColumn id="4" name="Total reseñas"/>
    <x:tableColumn id="5" name="Reseñas extraídas"/>
    <x:tableColumn id="6" name="1–2★"/>
    <x:tableColumn id="7" name="1–2★ con texto"/>
    <x:tableColumn id="8" name="Resultado"/>
    <x:tableColumn id="9" name="Aportes restringidos"/>
    <x:tableColumn id="10" name="Estado extracción"/>
    <x:tableColumn id="11" name="Nota técnica"/>
    <x:tableColumn id="12" name="URL Google Maps"/>
    <x:tableColumn id="13" name="Place ID"/>
  </x:tableColumns>
  <x:tableStyleInfo name="TableStyleMedium2" showRowStripes="1"/>
</x:table>
</file>

<file path=xl/tables/table4.xml><?xml version="1.0" encoding="utf-8"?>
<x:table xmlns:x="http://schemas.openxmlformats.org/spreadsheetml/2006/main" id="4" name="CoverageTable" displayName="CoverageTable" ref="A4:M12" headerRowCount="1">
  <x:tableColumns count="13">
    <x:tableColumn id="1" name="Departamento"/>
    <x:tableColumn id="2" name="Fichas relevantes"/>
    <x:tableColumn id="3" name="Con rating"/>
    <x:tableColumn id="4" name="Aportes restringidos"/>
    <x:tableColumn id="5" name="Rating mínimo"/>
    <x:tableColumn id="6" name="Fichas dirigidas"/>
    <x:tableColumn id="7" name="Extracciones exitosas"/>
    <x:tableColumn id="8" name="Reviews estructuradas"/>
    <x:tableColumn id="9" name="1–2★"/>
    <x:tableColumn id="10" name="1–2★ con texto"/>
    <x:tableColumn id="11" name="Evidencias calificantes"/>
    <x:tableColumn id="12" name="Evidencias recientes"/>
    <x:tableColumn id="13" name="Señal media o may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8c887af45147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35691f082c47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59ca8f324c47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ebbc8c3f484a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7beb8f1436446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15" hidden="0" customWidth="1"/>
    <x:col min="5" max="5" width="18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4" t="str">
        <x:v>Alerta Mayor — corte dirigido de Google Maps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39" t="str">
        <x:v>Ocho departamentos · fecha de corte 2026-08-04 · señales basadas únicamente en reseñas públicas de Google Maps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4" ht="26" customHeight="1">
      <x:c r="A4" s="20" t="str">
        <x:v>Fichas relevantes encontradas</x:v>
      </x:c>
      <x:c r="B4" s="20"/>
      <x:c r="C4" s="20" t="str">
        <x:v>Fichas preseleccionadas</x:v>
      </x:c>
      <x:c r="D4" s="20"/>
      <x:c r="E4" s="20" t="str">
        <x:v>Reseñas estructuradas</x:v>
      </x:c>
      <x:c r="F4" s="20"/>
      <x:c r="G4" s="20" t="str">
        <x:v>Evidencias calificantes</x:v>
      </x:c>
      <x:c r="H4" s="20"/>
      <x:c r="I4" s="20" t="str">
        <x:v>Evidencias recientes</x:v>
      </x:c>
      <x:c r="J4" s="20"/>
      <x:c r="K4" s="20" t="str">
        <x:v>Señal media o mayor</x:v>
      </x:c>
      <x:c r="L4" s="20"/>
    </x:row>
    <x:row r="5" ht="26" customHeight="1">
      <x:c r="A5" s="43" t="n">
        <x:f>SUM(Cobertura!B5:B12)</x:f>
        <x:v>135</x:v>
      </x:c>
      <x:c r="B5" s="43"/>
      <x:c r="C5" s="43" t="n">
        <x:f>SUM(Cobertura!F5:F12)</x:f>
        <x:v>28</x:v>
      </x:c>
      <x:c r="D5" s="43"/>
      <x:c r="E5" s="43" t="n">
        <x:f>SUM(Cobertura!H5:H12)</x:f>
        <x:v>307</x:v>
      </x:c>
      <x:c r="F5" s="43"/>
      <x:c r="G5" s="43" t="n">
        <x:f>SUM(Cobertura!K5:K12)</x:f>
        <x:v>28</x:v>
      </x:c>
      <x:c r="H5" s="43"/>
      <x:c r="I5" s="43" t="n">
        <x:f>SUM(Cobertura!L5:L12)</x:f>
        <x:v>15</x:v>
      </x:c>
      <x:c r="J5" s="43"/>
      <x:c r="K5" s="43" t="n">
        <x:f>SUM(Cobertura!M5:M12)</x:f>
        <x:v>5</x:v>
      </x:c>
      <x:c r="L5" s="43"/>
    </x:row>
    <x:row r="6" ht="26" customHeight="1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</x:row>
    <x:row r="8">
      <x:c r="A8" s="46" t="str">
        <x:v>Lectura principal</x:v>
      </x:c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</x:row>
    <x:row r="9" ht="25" customHeight="1">
      <x:c r="A9" s="51" t="str">
        <x:v>Los patrones más fuertes del corte aparecen en Española Hogar — Hogar Español (Montevideo) y Residencial “El Hogar” (Canelones). También requieren verificación prioritaria CAM Carrasco, Nace una Estrella y Retiro Golden Age. Esto no prueba las alegaciones: ordena señales públicas por recencia, detalle y repetición.</x:v>
      </x:c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</x:row>
    <x:row r="10" ht="25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</x:row>
    <x:row r="11" ht="25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</x:row>
    <x:row r="13">
      <x:c r="A13" s="20" t="str">
        <x:v>Departamento</x:v>
      </x:c>
      <x:c r="B13" s="20" t="str">
        <x:v>Evidencias</x:v>
      </x:c>
      <x:c r="C13" s="20" t="str">
        <x:v>Recientes</x:v>
      </x:c>
    </x:row>
    <x:row r="14">
      <x:c r="A14" s="27" t="str">
        <x:v>Artigas</x:v>
      </x:c>
      <x:c r="B14" s="27" t="n">
        <x:v>0</x:v>
      </x:c>
      <x:c r="C14" s="27" t="n">
        <x:v>0</x:v>
      </x:c>
    </x:row>
    <x:row r="15">
      <x:c r="A15" s="27" t="str">
        <x:v>Canelones</x:v>
      </x:c>
      <x:c r="B15" s="27" t="n">
        <x:v>9</x:v>
      </x:c>
      <x:c r="C15" s="27" t="n">
        <x:v>5</x:v>
      </x:c>
    </x:row>
    <x:row r="16">
      <x:c r="A16" s="27" t="str">
        <x:v>Durazno</x:v>
      </x:c>
      <x:c r="B16" s="27" t="n">
        <x:v>0</x:v>
      </x:c>
      <x:c r="C16" s="27" t="n">
        <x:v>0</x:v>
      </x:c>
    </x:row>
    <x:row r="17">
      <x:c r="A17" s="27" t="str">
        <x:v>Montevideo</x:v>
      </x:c>
      <x:c r="B17" s="27" t="n">
        <x:v>19</x:v>
      </x:c>
      <x:c r="C17" s="27" t="n">
        <x:v>10</x:v>
      </x:c>
    </x:row>
    <x:row r="18">
      <x:c r="A18" s="27" t="str">
        <x:v>Paysandú</x:v>
      </x:c>
      <x:c r="B18" s="27" t="n">
        <x:v>0</x:v>
      </x:c>
      <x:c r="C18" s="27" t="n">
        <x:v>0</x:v>
      </x:c>
    </x:row>
    <x:row r="19">
      <x:c r="A19" s="27" t="str">
        <x:v>Rocha</x:v>
      </x:c>
      <x:c r="B19" s="27" t="n">
        <x:v>0</x:v>
      </x:c>
      <x:c r="C19" s="27" t="n">
        <x:v>0</x:v>
      </x:c>
    </x:row>
    <x:row r="20">
      <x:c r="A20" s="27" t="str">
        <x:v>Tacuarembó</x:v>
      </x:c>
      <x:c r="B20" s="27" t="n">
        <x:v>0</x:v>
      </x:c>
      <x:c r="C20" s="27" t="n">
        <x:v>0</x:v>
      </x:c>
    </x:row>
    <x:row r="21">
      <x:c r="A21" s="27" t="str">
        <x:v>Treinta y Tres</x:v>
      </x:c>
      <x:c r="B21" s="27" t="n">
        <x:v>0</x:v>
      </x:c>
      <x:c r="C21" s="27" t="n">
        <x:v>0</x:v>
      </x:c>
    </x:row>
    <x:row r="24">
      <x:c r="A24" s="46" t="str">
        <x:v>Cinco prioridades de verificación</x:v>
      </x:c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</x:row>
    <x:row r="25">
      <x:c r="A25" s="20" t="str">
        <x:v>Prioridad</x:v>
      </x:c>
      <x:c r="B25" s="20" t="str">
        <x:v>Departamento</x:v>
      </x:c>
      <x:c r="C25" s="20" t="str">
        <x:v>Lugar</x:v>
      </x:c>
      <x:c r="D25" s="20" t="str">
        <x:v>Nivel</x:v>
      </x:c>
      <x:c r="E25" s="20" t="str">
        <x:v>Evidencias recientes</x:v>
      </x:c>
      <x:c r="F25" s="20" t="str">
        <x:v>Rating</x:v>
      </x:c>
    </x:row>
    <x:row r="26" ht="36" customHeight="1">
      <x:c r="A26" s="27" t="n">
        <x:v>1</x:v>
      </x:c>
      <x:c r="B26" s="27" t="str">
        <x:v>Montevideo</x:v>
      </x:c>
      <x:c r="C26" s="27" t="str">
        <x:v>Española Hogar - Hogar Español</x:v>
      </x:c>
      <x:c r="D26" s="27" t="str">
        <x:v>Alta</x:v>
      </x:c>
      <x:c r="E26" s="27" t="n">
        <x:v>6</x:v>
      </x:c>
      <x:c r="F26" s="30" t="n">
        <x:v>3.8</x:v>
      </x:c>
    </x:row>
    <x:row r="27" ht="36" customHeight="1">
      <x:c r="A27" s="27" t="n">
        <x:v>2</x:v>
      </x:c>
      <x:c r="B27" s="27" t="str">
        <x:v>Canelones</x:v>
      </x:c>
      <x:c r="C27" s="27" t="str">
        <x:v>Residencial "El Hogar"</x:v>
      </x:c>
      <x:c r="D27" s="27" t="str">
        <x:v>Alta</x:v>
      </x:c>
      <x:c r="E27" s="27" t="n">
        <x:v>2</x:v>
      </x:c>
      <x:c r="F27" s="30" t="n">
        <x:v>4.4</x:v>
      </x:c>
    </x:row>
    <x:row r="28" ht="36" customHeight="1">
      <x:c r="A28" s="27" t="n">
        <x:v>3</x:v>
      </x:c>
      <x:c r="B28" s="27" t="str">
        <x:v>Montevideo</x:v>
      </x:c>
      <x:c r="C28" s="27" t="str">
        <x:v>Centro del Adulto Mayor (CAM) | Residencial Carrasco</x:v>
      </x:c>
      <x:c r="D28" s="27" t="str">
        <x:v>Media-alta</x:v>
      </x:c>
      <x:c r="E28" s="27" t="n">
        <x:v>3</x:v>
      </x:c>
      <x:c r="F28" s="30" t="n">
        <x:v>3.4</x:v>
      </x:c>
    </x:row>
    <x:row r="29" ht="36" customHeight="1">
      <x:c r="A29" s="27" t="n">
        <x:v>4</x:v>
      </x:c>
      <x:c r="B29" s="27" t="str">
        <x:v>Canelones</x:v>
      </x:c>
      <x:c r="C29" s="27" t="str">
        <x:v>Residencial Nace una Estrella</x:v>
      </x:c>
      <x:c r="D29" s="27" t="str">
        <x:v>Media</x:v>
      </x:c>
      <x:c r="E29" s="27" t="n">
        <x:v>1</x:v>
      </x:c>
      <x:c r="F29" s="30" t="n">
        <x:v>3</x:v>
      </x:c>
    </x:row>
    <x:row r="30" ht="36" customHeight="1">
      <x:c r="A30" s="27" t="n">
        <x:v>5</x:v>
      </x:c>
      <x:c r="B30" s="27" t="str">
        <x:v>Canelones</x:v>
      </x:c>
      <x:c r="C30" s="27" t="str">
        <x:v>Residencial Retiro Golden Age</x:v>
      </x:c>
      <x:c r="D30" s="27" t="str">
        <x:v>Media</x:v>
      </x:c>
      <x:c r="E30" s="27" t="n">
        <x:v>2</x:v>
      </x:c>
      <x:c r="F30" s="30" t="n">
        <x:v>3.6</x:v>
      </x:c>
    </x:row>
    <x:row r="33">
      <x:c r="A33" s="59" t="str">
        <x:v>Advertencia: una reseña de Google Maps es una publicación de un usuario, no una constatación. La hoja “Evidencia_reviews” conserva los enlaces de origen y marca textos antiguos, vagos, disputados o posiblemente duplicados. En Artigas, Durazno, Paysandú, Rocha, Tacuarembó y Treinta y Tres no apareció evidencia textual calificante en la muestra dirigida; eso no demuestra ausencia de problemas.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</x:row>
  </x:sheetData>
  <x:mergeCells>
    <x:mergeCell ref="A1:L1"/>
    <x:mergeCell ref="A2:L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8:L8"/>
    <x:mergeCell ref="A9:L11"/>
    <x:mergeCell ref="A24:L24"/>
    <x:mergeCell ref="A33:L36"/>
  </x:mergeCells>
  <x:conditionalFormatting sqref="D26:D30">
    <x:cfRule type="expression" dxfId="8" priority="1">
      <x:formula>OR($D26="Alta",$D26="Media-alta")</x:formula>
    </x:cfRule>
    <x:cfRule type="expression" dxfId="9" priority="2">
      <x:formula>$D26="Media"</x:formula>
    </x:cfRule>
  </x:conditionalFormatting>
  <x:pageMargins left="0.7" right="0.7" top="0.75" bottom="0.75" header="0.3" footer="0.3"/>
  <x:drawing xmlns:r="http://schemas.openxmlformats.org/officeDocument/2006/relationships" r:id="R9f8c887af4514781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34" hidden="0" customWidth="1"/>
    <x:col min="4" max="4" width="42" hidden="0" customWidth="1"/>
    <x:col min="5" max="5" width="11" hidden="0" customWidth="1"/>
    <x:col min="6" max="6" width="12" hidden="0" customWidth="1"/>
    <x:col min="7" max="7" width="14" hidden="0" customWidth="1"/>
    <x:col min="8" max="8" width="9" hidden="0" customWidth="1"/>
    <x:col min="9" max="9" width="14" hidden="0" customWidth="1"/>
    <x:col min="10" max="10" width="17" hidden="0" customWidth="1"/>
    <x:col min="11" max="11" width="15" hidden="0" customWidth="1"/>
    <x:col min="12" max="12" width="15" hidden="0" customWidth="1"/>
    <x:col min="13" max="13" width="13" hidden="0" customWidth="1"/>
    <x:col min="14" max="14" width="17" hidden="0" customWidth="1"/>
    <x:col min="15" max="15" width="58" hidden="0" customWidth="1"/>
    <x:col min="16" max="16" width="48" hidden="0" customWidth="1"/>
    <x:col min="17" max="17" width="31" hidden="0" customWidth="1"/>
  </x:cols>
  <x:sheetData>
    <x:row r="1" ht="30" customHeight="1">
      <x:c r="A1" s="4" t="str">
        <x:v>Alerta Mayor — señales negativas en Google Maps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8" customHeight="1">
      <x:c r="A2" s="11" t="str">
        <x:v>Fuente única de evidencia: reseñas públicas de Google Maps. Las afirmaciones son alegaciones de usuarios y no fueron verificadas de forma independiente.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>
      <x:c r="A4" s="20" t="str">
        <x:v>Prioridad</x:v>
      </x:c>
      <x:c r="B4" s="20" t="str">
        <x:v>Departamento</x:v>
      </x:c>
      <x:c r="C4" s="20" t="str">
        <x:v>Lugar</x:v>
      </x:c>
      <x:c r="D4" s="20" t="str">
        <x:v>Dirección</x:v>
      </x:c>
      <x:c r="E4" s="20" t="str">
        <x:v>Rating Maps</x:v>
      </x:c>
      <x:c r="F4" s="20" t="str">
        <x:v>Total reseñas</x:v>
      </x:c>
      <x:c r="G4" s="20" t="str">
        <x:v>Reseñas extraídas</x:v>
      </x:c>
      <x:c r="H4" s="20" t="str">
        <x:v>1–2★</x:v>
      </x:c>
      <x:c r="I4" s="20" t="str">
        <x:v>1–2★ con texto</x:v>
      </x:c>
      <x:c r="J4" s="20" t="str">
        <x:v>Evidencias calificantes</x:v>
      </x:c>
      <x:c r="K4" s="20" t="str">
        <x:v>Evidencias recientes</x:v>
      </x:c>
      <x:c r="L4" s="20" t="str">
        <x:v>Nivel de señal</x:v>
      </x:c>
      <x:c r="M4" s="20" t="str">
        <x:v>Confianza</x:v>
      </x:c>
      <x:c r="N4" s="20" t="str">
        <x:v>Aportes restringidos</x:v>
      </x:c>
      <x:c r="O4" s="20" t="str">
        <x:v>Lectura metodológica</x:v>
      </x:c>
      <x:c r="P4" s="20" t="str">
        <x:v>URL Google Maps</x:v>
      </x:c>
      <x:c r="Q4" s="20" t="str">
        <x:v>Place ID</x:v>
      </x:c>
    </x:row>
    <x:row r="5" ht="58" customHeight="1">
      <x:c r="A5" s="27" t="n">
        <x:v>1</x:v>
      </x:c>
      <x:c r="B5" s="27" t="str">
        <x:v>Montevideo</x:v>
      </x:c>
      <x:c r="C5" s="27" t="str">
        <x:v>Española Hogar - Hogar Español</x:v>
      </x:c>
      <x:c r="D5" s="27" t="str">
        <x:v>Av. de las Instrucciones 981, 12900 Montevideo, Departamento de Montevideo, Uruguay</x:v>
      </x:c>
      <x:c r="E5" s="30" t="n">
        <x:v>3.8</x:v>
      </x:c>
      <x:c r="F5" s="27" t="n">
        <x:v>51</x:v>
      </x:c>
      <x:c r="G5" s="27" t="n">
        <x:v>51</x:v>
      </x:c>
      <x:c r="H5" s="27" t="n">
        <x:v>11</x:v>
      </x:c>
      <x:c r="I5" s="27" t="n">
        <x:v>5</x:v>
      </x:c>
      <x:c r="J5" s="27" t="n">
        <x:v>8</x:v>
      </x:c>
      <x:c r="K5" s="27" t="n">
        <x:v>6</x:v>
      </x:c>
      <x:c r="L5" s="27" t="str">
        <x:v>Alta</x:v>
      </x:c>
      <x:c r="M5" s="27" t="str">
        <x:v>Alta</x:v>
      </x:c>
      <x:c r="N5" s="27" t="str">
        <x:v>No</x:v>
      </x:c>
      <x:c r="O5" s="27" t="str">
        <x:v>Patrón reciente y repetido: seis reseñas negativas con texto en 2025–2026. Se repiten falta de personal o caída de calidad, atención, comida/servicios y una alegación sobre sedación.</x:v>
      </x:c>
      <x:c r="P5" s="27" t="str">
        <x:v>https://www.google.com/maps?cid=16073238482233532441</x:v>
      </x:c>
      <x:c r="Q5" s="27" t="str">
        <x:v>ChIJO-shncwqoJURGSCraz2dD98</x:v>
      </x:c>
    </x:row>
    <x:row r="6" ht="58" customHeight="1">
      <x:c r="A6" s="27" t="n">
        <x:v>2</x:v>
      </x:c>
      <x:c r="B6" s="27" t="str">
        <x:v>Canelones</x:v>
      </x:c>
      <x:c r="C6" s="27" t="str">
        <x:v>Residencial "El Hogar"</x:v>
      </x:c>
      <x:c r="D6" s="27" t="str">
        <x:v>Achiras Mz 24 S 23, 15005 Solymar, Departamento de Canelones, Uruguay</x:v>
      </x:c>
      <x:c r="E6" s="30" t="n">
        <x:v>4.4</x:v>
      </x:c>
      <x:c r="F6" s="27" t="n">
        <x:v>15</x:v>
      </x:c>
      <x:c r="G6" s="27" t="n">
        <x:v>15</x:v>
      </x:c>
      <x:c r="H6" s="27" t="n">
        <x:v>2</x:v>
      </x:c>
      <x:c r="I6" s="27" t="n">
        <x:v>2</x:v>
      </x:c>
      <x:c r="J6" s="27" t="n">
        <x:v>2</x:v>
      </x:c>
      <x:c r="K6" s="27" t="n">
        <x:v>2</x:v>
      </x:c>
      <x:c r="L6" s="27" t="str">
        <x:v>Alta</x:v>
      </x:c>
      <x:c r="M6" s="27" t="str">
        <x:v>Media</x:v>
      </x:c>
      <x:c r="N6" s="27" t="str">
        <x:v>No</x:v>
      </x:c>
      <x:c r="O6" s="27" t="str">
        <x:v>Dos reseñas recientes, detalladas y separadas en el tiempo alegan problemas de personal/capacitación, medicación y respuesta ante emergencias; una describe consecuencias graves.</x:v>
      </x:c>
      <x:c r="P6" s="27" t="str">
        <x:v>https://www.google.com/maps?cid=1074362564215374963</x:v>
      </x:c>
      <x:c r="Q6" s="27" t="str">
        <x:v>ChIJyfuJ9Z-Jn5URcwQJWA_n6A4</x:v>
      </x:c>
    </x:row>
    <x:row r="7" ht="58" customHeight="1">
      <x:c r="A7" s="27" t="n">
        <x:v>3</x:v>
      </x:c>
      <x:c r="B7" s="27" t="str">
        <x:v>Montevideo</x:v>
      </x:c>
      <x:c r="C7" s="27" t="str">
        <x:v>Centro del Adulto Mayor (CAM) | Residencial Carrasco</x:v>
      </x:c>
      <x:c r="D7" s="27" t="str">
        <x:v>Avenida Almirante Harwood 6346, 11500 Montevideo, Departamento de Montevideo, Uruguay</x:v>
      </x:c>
      <x:c r="E7" s="30" t="n">
        <x:v>3.4</x:v>
      </x:c>
      <x:c r="F7" s="27" t="n">
        <x:v>10</x:v>
      </x:c>
      <x:c r="G7" s="27" t="n">
        <x:v>10</x:v>
      </x:c>
      <x:c r="H7" s="27" t="n">
        <x:v>4</x:v>
      </x:c>
      <x:c r="I7" s="27" t="n">
        <x:v>3</x:v>
      </x:c>
      <x:c r="J7" s="27" t="n">
        <x:v>3</x:v>
      </x:c>
      <x:c r="K7" s="27" t="n">
        <x:v>3</x:v>
      </x:c>
      <x:c r="L7" s="27" t="str">
        <x:v>Media-alta</x:v>
      </x:c>
      <x:c r="M7" s="27" t="str">
        <x:v>Media-baja</x:v>
      </x:c>
      <x:c r="N7" s="27" t="str">
        <x:v>No</x:v>
      </x:c>
      <x:c r="O7" s="27" t="str">
        <x:v>Tres reseñas de una estrella publicadas el mismo día. Hay dos narrativas: posible maltrato/manipulación y presión contractual/financiera. Dos textos son casi idénticos, por lo que la independencia es limitada.</x:v>
      </x:c>
      <x:c r="P7" s="27" t="str">
        <x:v>https://www.google.com/maps?cid=18110637366805736861</x:v>
      </x:c>
      <x:c r="Q7" s="27" t="str">
        <x:v>ChIJfdqmaGCGn5URnS1fGLvoVfs</x:v>
      </x:c>
    </x:row>
    <x:row r="8" ht="58" customHeight="1">
      <x:c r="A8" s="27" t="n">
        <x:v>4</x:v>
      </x:c>
      <x:c r="B8" s="27" t="str">
        <x:v>Canelones</x:v>
      </x:c>
      <x:c r="C8" s="27" t="str">
        <x:v>Residencial Nace una Estrella</x:v>
      </x:c>
      <x:c r="D8" s="27" t="str">
        <x:v>rambla costanera, entre, Av. 50 Metros y, 15300 Parque del Plata, Departamento de Canelones, Uruguay</x:v>
      </x:c>
      <x:c r="E8" s="30" t="n">
        <x:v>3</x:v>
      </x:c>
      <x:c r="F8" s="27" t="n">
        <x:v>2</x:v>
      </x:c>
      <x:c r="G8" s="27" t="n">
        <x:v>2</x:v>
      </x:c>
      <x:c r="H8" s="27" t="n">
        <x:v>1</x:v>
      </x:c>
      <x:c r="I8" s="27" t="n">
        <x:v>1</x:v>
      </x:c>
      <x:c r="J8" s="27" t="n">
        <x:v>1</x:v>
      </x:c>
      <x:c r="K8" s="27" t="n">
        <x:v>1</x:v>
      </x:c>
      <x:c r="L8" s="27" t="str">
        <x:v>Media</x:v>
      </x:c>
      <x:c r="M8" s="27" t="str">
        <x:v>Baja</x:v>
      </x:c>
      <x:c r="N8" s="27" t="str">
        <x:v>Sí</x:v>
      </x:c>
      <x:c r="O8" s="27" t="str">
        <x:v>Una reseña reciente muy detallada alega maltrato, falta de camas, restricciones de visitas y cambios de medicación. No existe corroboración interna en otras reseñas.</x:v>
      </x:c>
      <x:c r="P8" s="27" t="str">
        <x:v>https://www.google.com/maps?cid=2729890608997885872</x:v>
      </x:c>
      <x:c r="Q8" s="27" t="str">
        <x:v>ChIJFfI1E3T3n5URsGf-mAuF4iU</x:v>
      </x:c>
    </x:row>
    <x:row r="9" ht="58" customHeight="1">
      <x:c r="A9" s="27" t="n">
        <x:v>5</x:v>
      </x:c>
      <x:c r="B9" s="27" t="str">
        <x:v>Canelones</x:v>
      </x:c>
      <x:c r="C9" s="27" t="str">
        <x:v>Residencial Retiro Golden Age</x:v>
      </x:c>
      <x:c r="D9" s="27" t="str">
        <x:v>5XV7+P76, 15000 Gral. Líber Seregni, Departamento de Canelones, Uruguay</x:v>
      </x:c>
      <x:c r="E9" s="30" t="n">
        <x:v>3.6</x:v>
      </x:c>
      <x:c r="F9" s="27" t="n">
        <x:v>56</x:v>
      </x:c>
      <x:c r="G9" s="27" t="n">
        <x:v>56</x:v>
      </x:c>
      <x:c r="H9" s="27" t="n">
        <x:v>19</x:v>
      </x:c>
      <x:c r="I9" s="27" t="n">
        <x:v>2</x:v>
      </x:c>
      <x:c r="J9" s="27" t="n">
        <x:v>2</x:v>
      </x:c>
      <x:c r="K9" s="27" t="n">
        <x:v>2</x:v>
      </x:c>
      <x:c r="L9" s="27" t="str">
        <x:v>Media</x:v>
      </x:c>
      <x:c r="M9" s="27" t="str">
        <x:v>Media-baja</x:v>
      </x:c>
      <x:c r="N9" s="27" t="str">
        <x:v>Sí</x:v>
      </x:c>
      <x:c r="O9" s="27" t="str">
        <x:v>Dos reseñas recientes con texto: una alega alimentación e hidratación insuficientes y otra es vaga. Hay además numerosas calificaciones bajas sin texto.</x:v>
      </x:c>
      <x:c r="P9" s="27" t="str">
        <x:v>https://www.google.com/maps?cid=13962970092151525279</x:v>
      </x:c>
      <x:c r="Q9" s="27" t="str">
        <x:v>ChIJh59DGvQpoJURn08Y4FFvxsE</x:v>
      </x:c>
    </x:row>
    <x:row r="10" ht="58" customHeight="1">
      <x:c r="A10" s="27" t="n">
        <x:v>6</x:v>
      </x:c>
      <x:c r="B10" s="27" t="str">
        <x:v>Montevideo</x:v>
      </x:c>
      <x:c r="C10" s="27" t="str">
        <x:v>Le Refuge, Residencial Tercera Edad, Adulto Mayor, Veteranos, Montevideo</x:v>
      </x:c>
      <x:c r="D10" s="27" t="str">
        <x:v>Av. Agraciada 2405, 11800 Montevideo, Departamento de Montevideo, Uruguay</x:v>
      </x:c>
      <x:c r="E10" s="30" t="n">
        <x:v>4.1</x:v>
      </x:c>
      <x:c r="F10" s="27" t="n">
        <x:v>8</x:v>
      </x:c>
      <x:c r="G10" s="27" t="n">
        <x:v>8</x:v>
      </x:c>
      <x:c r="H10" s="27" t="n">
        <x:v>2</x:v>
      </x:c>
      <x:c r="I10" s="27" t="n">
        <x:v>2</x:v>
      </x:c>
      <x:c r="J10" s="27" t="n">
        <x:v>2</x:v>
      </x:c>
      <x:c r="K10" s="27" t="n">
        <x:v>1</x:v>
      </x:c>
      <x:c r="L10" s="27" t="str">
        <x:v>Baja-media</x:v>
      </x:c>
      <x:c r="M10" s="27" t="str">
        <x:v>Media-baja</x:v>
      </x:c>
      <x:c r="N10" s="27" t="str">
        <x:v>Sí</x:v>
      </x:c>
      <x:c r="O10" s="27" t="str">
        <x:v>Una reseña reciente discute cobro y condiciones de salida; otra, más antigua, menciona frío y moho. Los temas no se repiten.</x:v>
      </x:c>
      <x:c r="P10" s="27" t="str">
        <x:v>https://www.google.com/maps?cid=5421298688730829195</x:v>
      </x:c>
      <x:c r="Q10" s="27" t="str">
        <x:v>ChIJnW2rCD2An5URi5EXI29SPEs</x:v>
      </x:c>
    </x:row>
    <x:row r="11" ht="58" customHeight="1">
      <x:c r="A11" s="27" t="n">
        <x:v>7</x:v>
      </x:c>
      <x:c r="B11" s="27" t="str">
        <x:v>Canelones</x:v>
      </x:c>
      <x:c r="C11" s="27" t="str">
        <x:v>Hogar De Ancianos</x:v>
      </x:c>
      <x:c r="D11" s="27" t="str">
        <x:v>FPJ8+RMV, Calle Dr. Francisco Soca, 90000 Canelones, Departamento de Canelones, Uruguay</x:v>
      </x:c>
      <x:c r="E11" s="30" t="n">
        <x:v>1</x:v>
      </x:c>
      <x:c r="F11" s="27" t="n">
        <x:v>1</x:v>
      </x:c>
      <x:c r="G11" s="27" t="n">
        <x:v>1</x:v>
      </x:c>
      <x:c r="H11" s="27" t="n">
        <x:v>1</x:v>
      </x:c>
      <x:c r="I11" s="27" t="n">
        <x:v>1</x:v>
      </x:c>
      <x:c r="J11" s="27" t="n">
        <x:v>1</x:v>
      </x:c>
      <x:c r="K11" s="27" t="n">
        <x:v>0</x:v>
      </x:c>
      <x:c r="L11" s="27" t="str">
        <x:v>Baja-media</x:v>
      </x:c>
      <x:c r="M11" s="27" t="str">
        <x:v>Baja</x:v>
      </x:c>
      <x:c r="N11" s="27" t="str">
        <x:v>No</x:v>
      </x:c>
      <x:c r="O11" s="27" t="str">
        <x:v>La única reseña, de febrero de 2024, es muy detallada y alega problemas de atención, medicación, descanso y dignidad, pero ya queda fuera de la ventana de 24 meses.</x:v>
      </x:c>
      <x:c r="P11" s="27" t="str">
        <x:v>https://www.google.com/maps?cid=14122991824970259729</x:v>
      </x:c>
      <x:c r="Q11" s="27" t="str">
        <x:v>ChIJ____IBq0oZURER0Z7Tzy_sM</x:v>
      </x:c>
    </x:row>
    <x:row r="12" ht="58" customHeight="1">
      <x:c r="A12" s="27" t="n">
        <x:v>8</x:v>
      </x:c>
      <x:c r="B12" s="27" t="str">
        <x:v>Montevideo</x:v>
      </x:c>
      <x:c r="C12" s="27" t="str">
        <x:v>Residencial La Casa de Lea</x:v>
      </x:c>
      <x:c r="D12" s="27" t="str">
        <x:v>Av. Dámaso A. Larrañaga 3228, 11600 Montevideo, Departamento de Montevideo, Uruguay</x:v>
      </x:c>
      <x:c r="E12" s="30" t="n">
        <x:v>3.4</x:v>
      </x:c>
      <x:c r="F12" s="27" t="n">
        <x:v>5</x:v>
      </x:c>
      <x:c r="G12" s="27" t="n">
        <x:v>5</x:v>
      </x:c>
      <x:c r="H12" s="27" t="n">
        <x:v>2</x:v>
      </x:c>
      <x:c r="I12" s="27" t="n">
        <x:v>2</x:v>
      </x:c>
      <x:c r="J12" s="27" t="n">
        <x:v>2</x:v>
      </x:c>
      <x:c r="K12" s="27" t="n">
        <x:v>0</x:v>
      </x:c>
      <x:c r="L12" s="27" t="str">
        <x:v>Baja histórica</x:v>
      </x:c>
      <x:c r="M12" s="27" t="str">
        <x:v>Baja</x:v>
      </x:c>
      <x:c r="N12" s="27" t="str">
        <x:v>Sí</x:v>
      </x:c>
      <x:c r="O12" s="27" t="str">
        <x:v>Dos reseñas antiguas y detalladas, de 2022 y 2024, mencionan atención, servicios y personal. Una incluye alegaciones graves; el establecimiento publicó una respuesta extensa que las disputa.</x:v>
      </x:c>
      <x:c r="P12" s="27" t="str">
        <x:v>https://www.google.com/maps?cid=142817326790536674</x:v>
      </x:c>
      <x:c r="Q12" s="27" t="str">
        <x:v>ChIJW1ikQfGAn5UR4u0eH5pj-wE</x:v>
      </x:c>
    </x:row>
    <x:row r="13" ht="58" customHeight="1">
      <x:c r="A13" s="27" t="n">
        <x:v>9</x:v>
      </x:c>
      <x:c r="B13" s="27" t="str">
        <x:v>Canelones</x:v>
      </x:c>
      <x:c r="C13" s="27" t="str">
        <x:v>Residencial Noa</x:v>
      </x:c>
      <x:c r="D13" s="27" t="str">
        <x:v>Gral. Leandro Gómez 656, 90200 Las Piedras, Departamento de Canelones, Uruguay</x:v>
      </x:c>
      <x:c r="E13" s="30" t="n">
        <x:v>4.1</x:v>
      </x:c>
      <x:c r="F13" s="27" t="n">
        <x:v>23</x:v>
      </x:c>
      <x:c r="G13" s="27" t="n">
        <x:v>23</x:v>
      </x:c>
      <x:c r="H13" s="27" t="n">
        <x:v>5</x:v>
      </x:c>
      <x:c r="I13" s="27" t="n">
        <x:v>2</x:v>
      </x:c>
      <x:c r="J13" s="27" t="n">
        <x:v>2</x:v>
      </x:c>
      <x:c r="K13" s="27" t="n">
        <x:v>0</x:v>
      </x:c>
      <x:c r="L13" s="27" t="str">
        <x:v>Baja histórica</x:v>
      </x:c>
      <x:c r="M13" s="27" t="str">
        <x:v>Baja</x:v>
      </x:c>
      <x:c r="N13" s="27" t="str">
        <x:v>Sí</x:v>
      </x:c>
      <x:c r="O13" s="27" t="str">
        <x:v>Dos reseñas antiguas, de 2019 y 2021, mencionan personal insuficiente, higiene y pertenencias. No se observó señal reciente en la muestra.</x:v>
      </x:c>
      <x:c r="P13" s="27" t="str">
        <x:v>https://www.google.com/maps?cid=7546045956203658815</x:v>
      </x:c>
      <x:c r="Q13" s="27" t="str">
        <x:v>ChIJA3Dn9KTSoZURP75KBtHwuGg</x:v>
      </x:c>
    </x:row>
    <x:row r="14" ht="58" customHeight="1">
      <x:c r="A14" s="27" t="n">
        <x:v>10</x:v>
      </x:c>
      <x:c r="B14" s="27" t="str">
        <x:v>Montevideo</x:v>
      </x:c>
      <x:c r="C14" s="27" t="str">
        <x:v>Solaz Residencial para la tercera edad</x:v>
      </x:c>
      <x:c r="D14" s="27" t="str">
        <x:v>Minas 1072, 11200 Montevideo, Departamento de Montevideo, Uruguay</x:v>
      </x:c>
      <x:c r="E14" s="30" t="n">
        <x:v>4.2</x:v>
      </x:c>
      <x:c r="F14" s="27" t="n">
        <x:v>13</x:v>
      </x:c>
      <x:c r="G14" s="27" t="n">
        <x:v>13</x:v>
      </x:c>
      <x:c r="H14" s="27" t="n">
        <x:v>2</x:v>
      </x:c>
      <x:c r="I14" s="27" t="n">
        <x:v>2</x:v>
      </x:c>
      <x:c r="J14" s="27" t="n">
        <x:v>2</x:v>
      </x:c>
      <x:c r="K14" s="27" t="n">
        <x:v>0</x:v>
      </x:c>
      <x:c r="L14" s="27" t="str">
        <x:v>Baja histórica</x:v>
      </x:c>
      <x:c r="M14" s="27" t="str">
        <x:v>Baja</x:v>
      </x:c>
      <x:c r="N14" s="27" t="str">
        <x:v>No</x:v>
      </x:c>
      <x:c r="O14" s="27" t="str">
        <x:v>Dos reseñas antiguas, de 2020 y 2024, mencionan trato, higiene, comida y privacidad. Una respuesta indica cambio de firma en 2022.</x:v>
      </x:c>
      <x:c r="P14" s="27" t="str">
        <x:v>https://www.google.com/maps?cid=4357553434554362699</x:v>
      </x:c>
      <x:c r="Q14" s="27" t="str">
        <x:v>ChIJgc9ou7eBn5URS2tl7MIjeTw</x:v>
      </x:c>
    </x:row>
    <x:row r="15" ht="58" customHeight="1">
      <x:c r="A15" s="27" t="n">
        <x:v>11</x:v>
      </x:c>
      <x:c r="B15" s="27" t="str">
        <x:v>Canelones</x:v>
      </x:c>
      <x:c r="C15" s="27" t="str">
        <x:v>Residencial Achiras</x:v>
      </x:c>
      <x:c r="D15" s="27" t="str">
        <x:v>Achiras Mz 1 Solar 12, Departamento de Canelones, Uruguay</x:v>
      </x:c>
      <x:c r="E15" s="30" t="n">
        <x:v>4.5</x:v>
      </x:c>
      <x:c r="F15" s="27" t="n">
        <x:v>35</x:v>
      </x:c>
      <x:c r="G15" s="27" t="n">
        <x:v>35</x:v>
      </x:c>
      <x:c r="H15" s="27" t="n">
        <x:v>1</x:v>
      </x:c>
      <x:c r="I15" s="27" t="n">
        <x:v>1</x:v>
      </x:c>
      <x:c r="J15" s="27" t="n">
        <x:v>1</x:v>
      </x:c>
      <x:c r="K15" s="27" t="n">
        <x:v>0</x:v>
      </x:c>
      <x:c r="L15" s="27" t="str">
        <x:v>Baja</x:v>
      </x:c>
      <x:c r="M15" s="27" t="str">
        <x:v>Baja</x:v>
      </x:c>
      <x:c r="N15" s="27" t="str">
        <x:v>No</x:v>
      </x:c>
      <x:c r="O15" s="27" t="str">
        <x:v>Una reseña de un visitante, de mayo de 2024, cuestiona el trato durante una consulta; no describe cuidado sostenido de un residente.</x:v>
      </x:c>
      <x:c r="P15" s="27" t="str">
        <x:v>https://www.google.com/maps?cid=9202654619635229431</x:v>
      </x:c>
      <x:c r="Q15" s="27" t="str">
        <x:v>ChIJafAM0M2Jn5UR9yL3aZ5ltn8</x:v>
      </x:c>
    </x:row>
    <x:row r="16" ht="58" customHeight="1">
      <x:c r="A16" s="27" t="n">
        <x:v>12</x:v>
      </x:c>
      <x:c r="B16" s="27" t="str">
        <x:v>Montevideo</x:v>
      </x:c>
      <x:c r="C16" s="27" t="str">
        <x:v>Residencial Geriátrico Mis Nietos</x:v>
      </x:c>
      <x:c r="D16" s="27" t="str">
        <x:v>Bv. Gral. Artigas 4251, 11800 Montevideo, Departamento de Montevideo, Uruguay</x:v>
      </x:c>
      <x:c r="E16" s="30" t="n">
        <x:v>4.2</x:v>
      </x:c>
      <x:c r="F16" s="27" t="n">
        <x:v>9</x:v>
      </x:c>
      <x:c r="G16" s="27" t="n">
        <x:v>9</x:v>
      </x:c>
      <x:c r="H16" s="27" t="n">
        <x:v>2</x:v>
      </x:c>
      <x:c r="I16" s="27" t="n">
        <x:v>1</x:v>
      </x:c>
      <x:c r="J16" s="27" t="n">
        <x:v>1</x:v>
      </x:c>
      <x:c r="K16" s="27" t="n">
        <x:v>0</x:v>
      </x:c>
      <x:c r="L16" s="27" t="str">
        <x:v>Baja histórica</x:v>
      </x:c>
      <x:c r="M16" s="27" t="str">
        <x:v>Baja</x:v>
      </x:c>
      <x:c r="N16" s="27" t="str">
        <x:v>Sí</x:v>
      </x:c>
      <x:c r="O16" s="27" t="str">
        <x:v>Una reseña aislada de 2022 cuestiona empatía y sensibilidad de la encargada.</x:v>
      </x:c>
      <x:c r="P16" s="27" t="str">
        <x:v>https://www.google.com/maps?cid=11932384246403347134</x:v>
      </x:c>
      <x:c r="Q16" s="27" t="str">
        <x:v>ChIJc01Bx4aBn5URvrJWakBYmKU</x:v>
      </x:c>
    </x:row>
    <x:row r="17" ht="58" customHeight="1">
      <x:c r="A17" s="27" t="n">
        <x:v>13</x:v>
      </x:c>
      <x:c r="B17" s="27" t="str">
        <x:v>Montevideo</x:v>
      </x:c>
      <x:c r="C17" s="27" t="str">
        <x:v>RESIDENCIAL NAHUEL PRADO</x:v>
      </x:c>
      <x:c r="D17" s="27" t="str">
        <x:v>Hermanos Ruiz 3495, 11700 Montevideo, Departamento de Montevideo, Uruguay</x:v>
      </x:c>
      <x:c r="E17" s="30" t="n">
        <x:v>4.2</x:v>
      </x:c>
      <x:c r="F17" s="27" t="n">
        <x:v>17</x:v>
      </x:c>
      <x:c r="G17" s="27" t="n">
        <x:v>18</x:v>
      </x:c>
      <x:c r="H17" s="27" t="n">
        <x:v>3</x:v>
      </x:c>
      <x:c r="I17" s="27" t="n">
        <x:v>1</x:v>
      </x:c>
      <x:c r="J17" s="27" t="n">
        <x:v>1</x:v>
      </x:c>
      <x:c r="K17" s="27" t="n">
        <x:v>0</x:v>
      </x:c>
      <x:c r="L17" s="27" t="str">
        <x:v>No calificante</x:v>
      </x:c>
      <x:c r="M17" s="27" t="str">
        <x:v>Baja</x:v>
      </x:c>
      <x:c r="N17" s="27" t="str">
        <x:v>Sí</x:v>
      </x:c>
      <x:c r="O17" s="27" t="str">
        <x:v>La reseña con texto trata sobre gestión laboral y experiencia de referentes; no describe directamente el cuidado de un residente.</x:v>
      </x:c>
      <x:c r="P17" s="27" t="str">
        <x:v>https://www.google.com/maps?cid=5379776879000287881</x:v>
      </x:c>
      <x:c r="Q17" s="27" t="str">
        <x:v>ChIJ7T6iHI_VoZURifqrc5HOqEo</x:v>
      </x:c>
    </x:row>
  </x:sheetData>
  <x:mergeCells>
    <x:mergeCell ref="A1:Q1"/>
    <x:mergeCell ref="A2:Q2"/>
  </x:mergeCells>
  <x:conditionalFormatting sqref="L5:L17">
    <x:cfRule type="expression" dxfId="0" priority="1">
      <x:formula>OR($L5="Alta",$L5="Media-alta")</x:formula>
    </x:cfRule>
    <x:cfRule type="expression" dxfId="1" priority="2">
      <x:formula>OR($L5="Media",$L5="Baja-media")</x:formula>
    </x:cfRule>
    <x:cfRule type="expression" dxfId="2" priority="3">
      <x:formula>OR($L5="Baja",$L5="Baja histórica",$L5="No calificante")</x:formula>
    </x:cfRule>
  </x:conditionalFormatting>
  <x:conditionalFormatting sqref="E5:E17">
    <x:cfRule type="dataBar" priority="4">
      <x:dataBar>
        <x:cfvo type="min"/>
        <x:cfvo type="max"/>
        <x:color rgb="FF0F6B78"/>
      </x:dataBar>
      <x:extLst>
        <x:ext xmlns:x14="http://schemas.microsoft.com/office/spreadsheetml/2009/9/main" uri="{B025F937-C7B1-47D3-B67F-A62EFF666E3E}">
          <x14:id>{373AA5F6-6786-55A5-896D-C6BC93ED3DED}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b35691f082c47f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373AA5F6-6786-55A5-896D-C6BC93ED3DED}">
            <x14:dataBar gradient="1">
              <x14:cfvo type="min"/>
              <x14:cfvo type="max"/>
              <x14:fillColor rgb="FF0F6B78"/>
            </x14:dataBar>
          </x14:cfRule>
          <xm:sqref>E5:E17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9" hidden="0" customWidth="1"/>
    <x:col min="4" max="4" width="12" hidden="0" customWidth="1"/>
    <x:col min="5" max="5" width="16" hidden="0" customWidth="1"/>
    <x:col min="6" max="6" width="16" hidden="0" customWidth="1"/>
    <x:col min="7" max="7" width="15" hidden="0" customWidth="1"/>
    <x:col min="8" max="8" width="43" hidden="0" customWidth="1"/>
    <x:col min="9" max="9" width="44" hidden="0" customWidth="1"/>
    <x:col min="10" max="10" width="17" hidden="0" customWidth="1"/>
    <x:col min="11" max="11" width="45" hidden="0" customWidth="1"/>
    <x:col min="12" max="12" width="52" hidden="0" customWidth="1"/>
    <x:col min="13" max="13" width="48" hidden="0" customWidth="1"/>
  </x:cols>
  <x:sheetData>
    <x:row r="1" ht="30" customHeight="1">
      <x:c r="A1" s="4" t="str">
        <x:v>Evidencia por reseña — Google Maps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8" customHeight="1">
      <x:c r="A2" s="11" t="str">
        <x:v>Cada fila conserva fecha, estrellas, fragmento breve y enlaces de Google Maps. No se incluyen nombres de usuarios. Los fragmentos no prueban los hechos alegados.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>
      <x:c r="A4" s="20" t="str">
        <x:v>Departamento</x:v>
      </x:c>
      <x:c r="B4" s="20" t="str">
        <x:v>Lugar</x:v>
      </x:c>
      <x:c r="C4" s="20" t="str">
        <x:v>Estrellas</x:v>
      </x:c>
      <x:c r="D4" s="20" t="str">
        <x:v>Fecha</x:v>
      </x:c>
      <x:c r="E4" s="20" t="str">
        <x:v>Últimos 24 meses</x:v>
      </x:c>
      <x:c r="F4" s="20" t="str">
        <x:v>Nivel de detalle</x:v>
      </x:c>
      <x:c r="G4" s="20" t="str">
        <x:v>Peso de evidencia</x:v>
      </x:c>
      <x:c r="H4" s="20" t="str">
        <x:v>Temas alegados</x:v>
      </x:c>
      <x:c r="I4" s="20" t="str">
        <x:v>Fragmento breve</x:v>
      </x:c>
      <x:c r="J4" s="20" t="str">
        <x:v>Respondió el lugar</x:v>
      </x:c>
      <x:c r="K4" s="20" t="str">
        <x:v>Nota de auditoría</x:v>
      </x:c>
      <x:c r="L4" s="20" t="str">
        <x:v>URL reseña</x:v>
      </x:c>
      <x:c r="M4" s="20" t="str">
        <x:v>URL ficha Google Maps</x:v>
      </x:c>
    </x:row>
    <x:row r="5" ht="58" customHeight="1">
      <x:c r="A5" s="27" t="str">
        <x:v>Canelones</x:v>
      </x:c>
      <x:c r="B5" s="27" t="str">
        <x:v>Hogar De Ancianos</x:v>
      </x:c>
      <x:c r="C5" s="27" t="n">
        <x:v>1</x:v>
      </x:c>
      <x:c r="D5" s="32" t="n">
        <x:v>45329</x:v>
      </x:c>
      <x:c r="E5" s="27" t="str">
        <x:v>No</x:v>
      </x:c>
      <x:c r="F5" s="27" t="str">
        <x:v>Muy detallada</x:v>
      </x:c>
      <x:c r="G5" s="27" t="str">
        <x:v>Media-baja</x:v>
      </x:c>
      <x:c r="H5" s="27" t="str">
        <x:v>Trato / cuidado; Medicación / sedación; Alimentación / hidratación; Dignidad / privacidad; Cobros / contrato</x:v>
      </x:c>
      <x:c r="I5" s="27" t="str">
        <x:v>No hay ningún hogar que pueda superar el confort y paz que te brinda tu propio hogar en</x:v>
      </x:c>
      <x:c r="J5" s="27" t="str">
        <x:v>No</x:v>
      </x:c>
      <x:c r="K5" s="27" t="str"/>
      <x:c r="L5" s="27" t="str">
        <x:v>https://www.google.com/maps/contrib/101802189921664520489/place/ChIJ____IBq0oZURER0Z7Tzy_sM/@-34.517875,-56.283331,18z/data=!4m6!1m5!8m4!1e1!2s101802189921664520489!3m1!1e1</x:v>
      </x:c>
      <x:c r="M5" s="27" t="str">
        <x:v>https://www.google.com/maps?cid=14122991824970259729</x:v>
      </x:c>
    </x:row>
    <x:row r="6" ht="58" customHeight="1">
      <x:c r="A6" s="27" t="str">
        <x:v>Canelones</x:v>
      </x:c>
      <x:c r="B6" s="27" t="str">
        <x:v>Residencial "El Hogar"</x:v>
      </x:c>
      <x:c r="C6" s="27" t="n">
        <x:v>2</x:v>
      </x:c>
      <x:c r="D6" s="32" t="n">
        <x:v>46022</x:v>
      </x:c>
      <x:c r="E6" s="27" t="str">
        <x:v>Sí</x:v>
      </x:c>
      <x:c r="F6" s="27" t="str">
        <x:v>Muy detallada</x:v>
      </x:c>
      <x:c r="G6" s="27" t="str">
        <x:v>Alta</x:v>
      </x:c>
      <x:c r="H6" s="27" t="str">
        <x:v>Personal / capacitación; Medicación / sedación</x:v>
      </x:c>
      <x:c r="I6" s="27" t="str">
        <x:v>No es todo como se muestra en las fotos y videos. Yo saqué a mi madre de allí.</x:v>
      </x:c>
      <x:c r="J6" s="27" t="str">
        <x:v>No</x:v>
      </x:c>
      <x:c r="K6" s="27" t="str"/>
      <x:c r="L6" s="27" t="str">
        <x:v>https://www.google.com/maps/contrib/106162402593217570255/place/ChIJyfuJ9Z-Jn5URcwQJWA_n6A4/@-34.830996,-55.958199,18z/data=!4m6!1m5!8m4!1e1!2s106162402593217570255!3m1!1e1</x:v>
      </x:c>
      <x:c r="M6" s="27" t="str">
        <x:v>https://www.google.com/maps?cid=1074362564215374963</x:v>
      </x:c>
    </x:row>
    <x:row r="7" ht="58" customHeight="1">
      <x:c r="A7" s="27" t="str">
        <x:v>Canelones</x:v>
      </x:c>
      <x:c r="B7" s="27" t="str">
        <x:v>Residencial "El Hogar"</x:v>
      </x:c>
      <x:c r="C7" s="27" t="n">
        <x:v>1</x:v>
      </x:c>
      <x:c r="D7" s="32" t="n">
        <x:v>45590</x:v>
      </x:c>
      <x:c r="E7" s="27" t="str">
        <x:v>Sí</x:v>
      </x:c>
      <x:c r="F7" s="27" t="str">
        <x:v>Muy detallada</x:v>
      </x:c>
      <x:c r="G7" s="27" t="str">
        <x:v>Alta</x:v>
      </x:c>
      <x:c r="H7" s="27" t="str">
        <x:v>Personal / capacitación; Higiene / infraestructura; Supervisión / emergencias; Dignidad / privacidad</x:v>
      </x:c>
      <x:c r="I7" s="27" t="str">
        <x:v>Al principio era todo color rosa, pero con el paso de los días te das cuenta, que no</x:v>
      </x:c>
      <x:c r="J7" s="27" t="str">
        <x:v>No</x:v>
      </x:c>
      <x:c r="K7" s="27" t="str"/>
      <x:c r="L7" s="27" t="str">
        <x:v>https://www.google.com/maps/contrib/101230867992043808119/place/ChIJyfuJ9Z-Jn5URcwQJWA_n6A4/@-34.830996,-55.958199,18z/data=!4m6!1m5!8m4!1e1!2s101230867992043808119!3m1!1e1</x:v>
      </x:c>
      <x:c r="M7" s="27" t="str">
        <x:v>https://www.google.com/maps?cid=1074362564215374963</x:v>
      </x:c>
    </x:row>
    <x:row r="8" ht="58" customHeight="1">
      <x:c r="A8" s="27" t="str">
        <x:v>Canelones</x:v>
      </x:c>
      <x:c r="B8" s="27" t="str">
        <x:v>Residencial Achiras</x:v>
      </x:c>
      <x:c r="C8" s="27" t="n">
        <x:v>2</x:v>
      </x:c>
      <x:c r="D8" s="32" t="n">
        <x:v>45437</x:v>
      </x:c>
      <x:c r="E8" s="27" t="str">
        <x:v>No</x:v>
      </x:c>
      <x:c r="F8" s="27" t="str">
        <x:v>Muy detallada</x:v>
      </x:c>
      <x:c r="G8" s="27" t="str">
        <x:v>Media-baja</x:v>
      </x:c>
      <x:c r="H8" s="27" t="str">
        <x:v>Trato / cuidado; Visitas / comunicación</x:v>
      </x:c>
      <x:c r="I8" s="27" t="str">
        <x:v>Fuimos con mi padre a visitar a un amigo suyo, y la chica que nos atendió nos habló</x:v>
      </x:c>
      <x:c r="J8" s="27" t="str">
        <x:v>No</x:v>
      </x:c>
      <x:c r="K8" s="27" t="str"/>
      <x:c r="L8" s="27" t="str">
        <x:v>https://www.google.com/maps/contrib/111441068265384061205/place/ChIJafAM0M2Jn5UR9yL3aZ5ltn8/@-34.833929,-55.956213,18z/data=!4m6!1m5!8m4!1e1!2s111441068265384061205!3m1!1e1</x:v>
      </x:c>
      <x:c r="M8" s="27" t="str">
        <x:v>https://www.google.com/maps?cid=9202654619635229431</x:v>
      </x:c>
    </x:row>
    <x:row r="9" ht="58" customHeight="1">
      <x:c r="A9" s="27" t="str">
        <x:v>Canelones</x:v>
      </x:c>
      <x:c r="B9" s="27" t="str">
        <x:v>Residencial Nace una Estrella</x:v>
      </x:c>
      <x:c r="C9" s="27" t="n">
        <x:v>1</x:v>
      </x:c>
      <x:c r="D9" s="32" t="n">
        <x:v>46152</x:v>
      </x:c>
      <x:c r="E9" s="27" t="str">
        <x:v>Sí</x:v>
      </x:c>
      <x:c r="F9" s="27" t="str">
        <x:v>Muy detallada</x:v>
      </x:c>
      <x:c r="G9" s="27" t="str">
        <x:v>Alta</x:v>
      </x:c>
      <x:c r="H9" s="27" t="str">
        <x:v>Trato / cuidado; Medicación / sedación; Higiene / infraestructura; Visitas / comunicación</x:v>
      </x:c>
      <x:c r="I9" s="27" t="str">
        <x:v>Tenemos una denuncia en curso a este residencial por el maltrato hacia mi abuela. No lo recomiendo en</x:v>
      </x:c>
      <x:c r="J9" s="27" t="str">
        <x:v>No</x:v>
      </x:c>
      <x:c r="K9" s="27" t="str"/>
      <x:c r="L9" s="27" t="str">
        <x:v>https://www.google.com/maps/contrib/113960326026454853306/place/ChIJFfI1E3T3n5URsGf-mAuF4iU/@-34.752398,-55.704539,18z/data=!4m6!1m5!8m4!1e1!2s113960326026454853306!3m1!1e1</x:v>
      </x:c>
      <x:c r="M9" s="27" t="str">
        <x:v>https://www.google.com/maps?cid=2729890608997885872</x:v>
      </x:c>
    </x:row>
    <x:row r="10" ht="58" customHeight="1">
      <x:c r="A10" s="27" t="str">
        <x:v>Canelones</x:v>
      </x:c>
      <x:c r="B10" s="27" t="str">
        <x:v>Residencial Noa</x:v>
      </x:c>
      <x:c r="C10" s="27" t="n">
        <x:v>1</x:v>
      </x:c>
      <x:c r="D10" s="32" t="n">
        <x:v>44547</x:v>
      </x:c>
      <x:c r="E10" s="27" t="str">
        <x:v>No</x:v>
      </x:c>
      <x:c r="F10" s="27" t="str">
        <x:v>Detallada</x:v>
      </x:c>
      <x:c r="G10" s="27" t="str">
        <x:v>Baja</x:v>
      </x:c>
      <x:c r="H10" s="27" t="str">
        <x:v>Personal / capacitación; Pertenencias</x:v>
      </x:c>
      <x:c r="I10" s="27" t="str">
        <x:v>No recomiendo,no tienen personal idóneo ni suficiente.No son bien atendidos,los objetos personales,ni la atención son reales.</x:v>
      </x:c>
      <x:c r="J10" s="27" t="str">
        <x:v>Sí</x:v>
      </x:c>
      <x:c r="K10" s="27" t="str"/>
      <x:c r="L10" s="27" t="str">
        <x:v>https://www.google.com/maps/contrib/116961307253543803044/place/ChIJA3Dn9KTSoZURP75KBtHwuGg/@-34.728490,-56.214895,18z/data=!4m6!1m5!8m4!1e1!2s116961307253543803044!3m1!1e1</x:v>
      </x:c>
      <x:c r="M10" s="27" t="str">
        <x:v>https://www.google.com/maps?cid=7546045956203658815</x:v>
      </x:c>
    </x:row>
    <x:row r="11" ht="58" customHeight="1">
      <x:c r="A11" s="27" t="str">
        <x:v>Canelones</x:v>
      </x:c>
      <x:c r="B11" s="27" t="str">
        <x:v>Residencial Noa</x:v>
      </x:c>
      <x:c r="C11" s="27" t="n">
        <x:v>1</x:v>
      </x:c>
      <x:c r="D11" s="32" t="n">
        <x:v>43721</x:v>
      </x:c>
      <x:c r="E11" s="27" t="str">
        <x:v>No</x:v>
      </x:c>
      <x:c r="F11" s="27" t="str">
        <x:v>Detallada</x:v>
      </x:c>
      <x:c r="G11" s="27" t="str">
        <x:v>Baja</x:v>
      </x:c>
      <x:c r="H11" s="27" t="str">
        <x:v>Personal / capacitación; Higiene / infraestructura</x:v>
      </x:c>
      <x:c r="I11" s="27" t="str">
        <x:v>Deprimente. Muy amables en el trato con los ancianos, pero el olor a orina era insoportable. Falta mantenimiento</x:v>
      </x:c>
      <x:c r="J11" s="27" t="str">
        <x:v>No</x:v>
      </x:c>
      <x:c r="K11" s="27" t="str"/>
      <x:c r="L11" s="27" t="str">
        <x:v>https://www.google.com/maps/contrib/105315074268494228768/place/ChIJA3Dn9KTSoZURP75KBtHwuGg/@-34.728490,-56.214895,18z/data=!4m6!1m5!8m4!1e1!2s105315074268494228768!3m1!1e1</x:v>
      </x:c>
      <x:c r="M11" s="27" t="str">
        <x:v>https://www.google.com/maps?cid=7546045956203658815</x:v>
      </x:c>
    </x:row>
    <x:row r="12" ht="58" customHeight="1">
      <x:c r="A12" s="27" t="str">
        <x:v>Canelones</x:v>
      </x:c>
      <x:c r="B12" s="27" t="str">
        <x:v>Residencial Retiro Golden Age</x:v>
      </x:c>
      <x:c r="C12" s="27" t="n">
        <x:v>1</x:v>
      </x:c>
      <x:c r="D12" s="32" t="n">
        <x:v>45987</x:v>
      </x:c>
      <x:c r="E12" s="27" t="str">
        <x:v>Sí</x:v>
      </x:c>
      <x:c r="F12" s="27" t="str">
        <x:v>Muy detallada</x:v>
      </x:c>
      <x:c r="G12" s="27" t="str">
        <x:v>Alta</x:v>
      </x:c>
      <x:c r="H12" s="27" t="str">
        <x:v>Alimentación / hidratación</x:v>
      </x:c>
      <x:c r="I12" s="27" t="str">
        <x:v>No le dan de comer a los abuelos, los tienen todo el día sin tomar agua y</x:v>
      </x:c>
      <x:c r="J12" s="27" t="str">
        <x:v>Sí</x:v>
      </x:c>
      <x:c r="K12" s="27" t="str"/>
      <x:c r="L12" s="27" t="str">
        <x:v>https://www.google.com/maps/contrib/104399733036244624145/place/ChIJh59DGvQpoJURn08Y4FFvxsE/@-34.805749,-56.036789,18z/data=!4m6!1m5!8m4!1e1!2s104399733036244624145!3m1!1e1</x:v>
      </x:c>
      <x:c r="M12" s="27" t="str">
        <x:v>https://www.google.com/maps?cid=13962970092151525279</x:v>
      </x:c>
    </x:row>
    <x:row r="13" ht="58" customHeight="1">
      <x:c r="A13" s="27" t="str">
        <x:v>Canelones</x:v>
      </x:c>
      <x:c r="B13" s="27" t="str">
        <x:v>Residencial Retiro Golden Age</x:v>
      </x:c>
      <x:c r="C13" s="27" t="n">
        <x:v>1</x:v>
      </x:c>
      <x:c r="D13" s="32" t="n">
        <x:v>45719</x:v>
      </x:c>
      <x:c r="E13" s="27" t="str">
        <x:v>Sí</x:v>
      </x:c>
      <x:c r="F13" s="27" t="str">
        <x:v>Breve / vaga</x:v>
      </x:c>
      <x:c r="G13" s="27" t="str">
        <x:v>Baja</x:v>
      </x:c>
      <x:c r="H13" s="27" t="str">
        <x:v>Otro / no clasificable</x:v>
      </x:c>
      <x:c r="I13" s="27" t="str">
        <x:v>Muy mala atención</x:v>
      </x:c>
      <x:c r="J13" s="27" t="str">
        <x:v>Sí</x:v>
      </x:c>
      <x:c r="K13" s="27" t="str"/>
      <x:c r="L13" s="27" t="str">
        <x:v>https://www.google.com/maps/contrib/112823976685429611740/place/ChIJh59DGvQpoJURn08Y4FFvxsE/@-34.805749,-56.036789,18z/data=!4m6!1m5!8m4!1e1!2s112823976685429611740!3m1!1e1</x:v>
      </x:c>
      <x:c r="M13" s="27" t="str">
        <x:v>https://www.google.com/maps?cid=13962970092151525279</x:v>
      </x:c>
    </x:row>
    <x:row r="14" ht="58" customHeight="1">
      <x:c r="A14" s="27" t="str">
        <x:v>Montevideo</x:v>
      </x:c>
      <x:c r="B14" s="27" t="str">
        <x:v>Centro del Adulto Mayor (CAM) | Residencial Carrasco</x:v>
      </x:c>
      <x:c r="C14" s="27" t="n">
        <x:v>1</x:v>
      </x:c>
      <x:c r="D14" s="32" t="n">
        <x:v>46080</x:v>
      </x:c>
      <x:c r="E14" s="27" t="str">
        <x:v>Sí</x:v>
      </x:c>
      <x:c r="F14" s="27" t="str">
        <x:v>Detallada</x:v>
      </x:c>
      <x:c r="G14" s="27" t="str">
        <x:v>Media</x:v>
      </x:c>
      <x:c r="H14" s="27" t="str">
        <x:v>Trato / cuidado; Visitas / comunicación</x:v>
      </x:c>
      <x:c r="I14" s="27" t="str">
        <x:v>Un horror lo que le pasó a un familiar aquí. Manipulan y maltratan a las personas.</x:v>
      </x:c>
      <x:c r="J14" s="27" t="str">
        <x:v>No</x:v>
      </x:c>
      <x:c r="K14" s="27" t="str"/>
      <x:c r="L14" s="27" t="str">
        <x:v>https://www.google.com/maps/contrib/101980825269684705856/place/ChIJfdqmaGCGn5URnS1fGLvoVfs/@-34.888001,-56.066406,18z/data=!4m6!1m5!8m4!1e1!2s101980825269684705856!3m1!1e1</x:v>
      </x:c>
      <x:c r="M14" s="27" t="str">
        <x:v>https://www.google.com/maps?cid=18110637366805736861</x:v>
      </x:c>
    </x:row>
    <x:row r="15" ht="58" customHeight="1">
      <x:c r="A15" s="27" t="str">
        <x:v>Montevideo</x:v>
      </x:c>
      <x:c r="B15" s="27" t="str">
        <x:v>Centro del Adulto Mayor (CAM) | Residencial Carrasco</x:v>
      </x:c>
      <x:c r="C15" s="27" t="n">
        <x:v>1</x:v>
      </x:c>
      <x:c r="D15" s="32" t="n">
        <x:v>46080</x:v>
      </x:c>
      <x:c r="E15" s="27" t="str">
        <x:v>Sí</x:v>
      </x:c>
      <x:c r="F15" s="27" t="str">
        <x:v>Muy detallada</x:v>
      </x:c>
      <x:c r="G15" s="27" t="str">
        <x:v>Alta</x:v>
      </x:c>
      <x:c r="H15" s="27" t="str">
        <x:v>Trato / cuidado; Visitas / comunicación; Cobros / contrato; Pertenencias</x:v>
      </x:c>
      <x:c r="I15" s="27" t="str">
        <x:v>Ojo con este lugar. Dijimos que no se iba a firmar contrato hasta leer bien y presionaron a</x:v>
      </x:c>
      <x:c r="J15" s="27" t="str">
        <x:v>No</x:v>
      </x:c>
      <x:c r="K15" s="27" t="str">
        <x:v>Posible relato duplicado/relacionado: dos textos casi iguales publicados el mismo día.</x:v>
      </x:c>
      <x:c r="L15" s="27" t="str">
        <x:v>https://www.google.com/maps/contrib/116302889178141622700/place/ChIJfdqmaGCGn5URnS1fGLvoVfs/@-34.888001,-56.066406,18z/data=!4m6!1m5!8m4!1e1!2s116302889178141622700!3m1!1e1</x:v>
      </x:c>
      <x:c r="M15" s="27" t="str">
        <x:v>https://www.google.com/maps?cid=18110637366805736861</x:v>
      </x:c>
    </x:row>
    <x:row r="16" ht="58" customHeight="1">
      <x:c r="A16" s="27" t="str">
        <x:v>Montevideo</x:v>
      </x:c>
      <x:c r="B16" s="27" t="str">
        <x:v>Centro del Adulto Mayor (CAM) | Residencial Carrasco</x:v>
      </x:c>
      <x:c r="C16" s="27" t="n">
        <x:v>1</x:v>
      </x:c>
      <x:c r="D16" s="32" t="n">
        <x:v>46080</x:v>
      </x:c>
      <x:c r="E16" s="27" t="str">
        <x:v>Sí</x:v>
      </x:c>
      <x:c r="F16" s="27" t="str">
        <x:v>Muy detallada</x:v>
      </x:c>
      <x:c r="G16" s="27" t="str">
        <x:v>Alta</x:v>
      </x:c>
      <x:c r="H16" s="27" t="str">
        <x:v>Trato / cuidado; Visitas / comunicación; Cobros / contrato; Pertenencias</x:v>
      </x:c>
      <x:c r="I16" s="27" t="str">
        <x:v>Peligroso. Ojo con este lugar. Dijimos que no se iba a firmar contrato hasta leer bien y presionaron</x:v>
      </x:c>
      <x:c r="J16" s="27" t="str">
        <x:v>No</x:v>
      </x:c>
      <x:c r="K16" s="27" t="str">
        <x:v>Posible relato duplicado/relacionado: dos textos casi iguales publicados el mismo día.</x:v>
      </x:c>
      <x:c r="L16" s="27" t="str">
        <x:v>https://www.google.com/maps/contrib/112810632876294032874/place/ChIJfdqmaGCGn5URnS1fGLvoVfs/@-34.888001,-56.066406,18z/data=!4m6!1m5!8m4!1e1!2s112810632876294032874!3m1!1e1</x:v>
      </x:c>
      <x:c r="M16" s="27" t="str">
        <x:v>https://www.google.com/maps?cid=18110637366805736861</x:v>
      </x:c>
    </x:row>
    <x:row r="17" ht="58" customHeight="1">
      <x:c r="A17" s="27" t="str">
        <x:v>Montevideo</x:v>
      </x:c>
      <x:c r="B17" s="27" t="str">
        <x:v>Española Hogar - Hogar Español</x:v>
      </x:c>
      <x:c r="C17" s="27" t="n">
        <x:v>3</x:v>
      </x:c>
      <x:c r="D17" s="32" t="n">
        <x:v>46188</x:v>
      </x:c>
      <x:c r="E17" s="27" t="str">
        <x:v>Sí</x:v>
      </x:c>
      <x:c r="F17" s="27" t="str">
        <x:v>Detallada</x:v>
      </x:c>
      <x:c r="G17" s="27" t="str">
        <x:v>Media</x:v>
      </x:c>
      <x:c r="H17" s="27" t="str">
        <x:v>Alimentación / hidratación; Servicios clínicos / actividades</x:v>
      </x:c>
      <x:c r="I17" s="27" t="str">
        <x:v>La gente que cuida a los abuelos excelente; la comida lamentable, las actividades pocas, no hay</x:v>
      </x:c>
      <x:c r="J17" s="27" t="str">
        <x:v>No</x:v>
      </x:c>
      <x:c r="K17" s="27" t="str"/>
      <x:c r="L17" s="27" t="str">
        <x:v>https://www.google.com/maps/contrib/103654517721786132374/place/ChIJO-shncwqoJURGSCraz2dD98/@-34.844189,-56.200747,18z/data=!4m6!1m5!8m4!1e1!2s103654517721786132374!3m1!1e1</x:v>
      </x:c>
      <x:c r="M17" s="27" t="str">
        <x:v>https://www.google.com/maps?cid=16073238482233532441</x:v>
      </x:c>
    </x:row>
    <x:row r="18" ht="58" customHeight="1">
      <x:c r="A18" s="27" t="str">
        <x:v>Montevideo</x:v>
      </x:c>
      <x:c r="B18" s="27" t="str">
        <x:v>Española Hogar - Hogar Español</x:v>
      </x:c>
      <x:c r="C18" s="27" t="n">
        <x:v>1</x:v>
      </x:c>
      <x:c r="D18" s="32" t="n">
        <x:v>45921</x:v>
      </x:c>
      <x:c r="E18" s="27" t="str">
        <x:v>Sí</x:v>
      </x:c>
      <x:c r="F18" s="27" t="str">
        <x:v>Muy detallada</x:v>
      </x:c>
      <x:c r="G18" s="27" t="str">
        <x:v>Alta</x:v>
      </x:c>
      <x:c r="H18" s="27" t="str">
        <x:v>Trato / cuidado; Medicación / sedación; Cobros / contrato</x:v>
      </x:c>
      <x:c r="I18" s="27" t="str">
        <x:v>Un desastre como institución. No recomiendo: no cuidan ni priorizan la salud</x:v>
      </x:c>
      <x:c r="J18" s="27" t="str">
        <x:v>No</x:v>
      </x:c>
      <x:c r="K18" s="27" t="str"/>
      <x:c r="L18" s="27" t="str">
        <x:v>https://www.google.com/maps/contrib/109043015720751816798/place/ChIJO-shncwqoJURGSCraz2dD98/@-34.844189,-56.200747,18z/data=!4m6!1m5!8m4!1e1!2s109043015720751816798!3m1!1e1</x:v>
      </x:c>
      <x:c r="M18" s="27" t="str">
        <x:v>https://www.google.com/maps?cid=16073238482233532441</x:v>
      </x:c>
    </x:row>
    <x:row r="19" ht="58" customHeight="1">
      <x:c r="A19" s="27" t="str">
        <x:v>Montevideo</x:v>
      </x:c>
      <x:c r="B19" s="27" t="str">
        <x:v>Española Hogar - Hogar Español</x:v>
      </x:c>
      <x:c r="C19" s="27" t="n">
        <x:v>1</x:v>
      </x:c>
      <x:c r="D19" s="32" t="n">
        <x:v>45921</x:v>
      </x:c>
      <x:c r="E19" s="27" t="str">
        <x:v>Sí</x:v>
      </x:c>
      <x:c r="F19" s="27" t="str">
        <x:v>Breve / vaga</x:v>
      </x:c>
      <x:c r="G19" s="27" t="str">
        <x:v>Baja</x:v>
      </x:c>
      <x:c r="H19" s="27" t="str">
        <x:v>Otro / no clasificable</x:v>
      </x:c>
      <x:c r="I19" s="27" t="str">
        <x:v>Malísima atención y cuidado con sus pacientes. No recomiendo.</x:v>
      </x:c>
      <x:c r="J19" s="27" t="str">
        <x:v>No</x:v>
      </x:c>
      <x:c r="K19" s="27" t="str"/>
      <x:c r="L19" s="27" t="str">
        <x:v>https://www.google.com/maps/contrib/115191343191532367688/place/ChIJO-shncwqoJURGSCraz2dD98/@-34.844189,-56.200747,18z/data=!4m6!1m5!8m4!1e1!2s115191343191532367688!3m1!1e1</x:v>
      </x:c>
      <x:c r="M19" s="27" t="str">
        <x:v>https://www.google.com/maps?cid=16073238482233532441</x:v>
      </x:c>
    </x:row>
    <x:row r="20" ht="58" customHeight="1">
      <x:c r="A20" s="27" t="str">
        <x:v>Montevideo</x:v>
      </x:c>
      <x:c r="B20" s="27" t="str">
        <x:v>Española Hogar - Hogar Español</x:v>
      </x:c>
      <x:c r="C20" s="27" t="n">
        <x:v>1</x:v>
      </x:c>
      <x:c r="D20" s="32" t="n">
        <x:v>45883</x:v>
      </x:c>
      <x:c r="E20" s="27" t="str">
        <x:v>Sí</x:v>
      </x:c>
      <x:c r="F20" s="27" t="str">
        <x:v>Detallada</x:v>
      </x:c>
      <x:c r="G20" s="27" t="str">
        <x:v>Media</x:v>
      </x:c>
      <x:c r="H20" s="27" t="str">
        <x:v>Otro / no clasificable</x:v>
      </x:c>
      <x:c r="I20" s="27" t="str">
        <x:v>Lo que una vez fue bueno hoy es horrible. No dejen a sus seres queridos acá.</x:v>
      </x:c>
      <x:c r="J20" s="27" t="str">
        <x:v>No</x:v>
      </x:c>
      <x:c r="K20" s="27" t="str"/>
      <x:c r="L20" s="27" t="str">
        <x:v>https://www.google.com/maps/contrib/106505072926730501844/place/ChIJO-shncwqoJURGSCraz2dD98/@-34.844189,-56.200747,18z/data=!4m6!1m5!8m4!1e1!2s106505072926730501844!3m1!1e1</x:v>
      </x:c>
      <x:c r="M20" s="27" t="str">
        <x:v>https://www.google.com/maps?cid=16073238482233532441</x:v>
      </x:c>
    </x:row>
    <x:row r="21" ht="58" customHeight="1">
      <x:c r="A21" s="27" t="str">
        <x:v>Montevideo</x:v>
      </x:c>
      <x:c r="B21" s="27" t="str">
        <x:v>Española Hogar - Hogar Español</x:v>
      </x:c>
      <x:c r="C21" s="27" t="n">
        <x:v>1</x:v>
      </x:c>
      <x:c r="D21" s="32" t="n">
        <x:v>45867</x:v>
      </x:c>
      <x:c r="E21" s="27" t="str">
        <x:v>Sí</x:v>
      </x:c>
      <x:c r="F21" s="27" t="str">
        <x:v>Muy detallada</x:v>
      </x:c>
      <x:c r="G21" s="27" t="str">
        <x:v>Alta</x:v>
      </x:c>
      <x:c r="H21" s="27" t="str">
        <x:v>Personal / capacitación; Visitas / comunicación</x:v>
      </x:c>
      <x:c r="I21" s="27" t="str">
        <x:v>Desde que la Asociación Española administra el hogar, su nivel de atención se ha deteriorado</x:v>
      </x:c>
      <x:c r="J21" s="27" t="str">
        <x:v>No</x:v>
      </x:c>
      <x:c r="K21" s="27" t="str"/>
      <x:c r="L21" s="27" t="str">
        <x:v>https://www.google.com/maps/contrib/116993578546720421366/place/ChIJO-shncwqoJURGSCraz2dD98/@-34.844189,-56.200747,18z/data=!4m6!1m5!8m4!1e1!2s116993578546720421366!3m1!1e1</x:v>
      </x:c>
      <x:c r="M21" s="27" t="str">
        <x:v>https://www.google.com/maps?cid=16073238482233532441</x:v>
      </x:c>
    </x:row>
    <x:row r="22" ht="58" customHeight="1">
      <x:c r="A22" s="27" t="str">
        <x:v>Montevideo</x:v>
      </x:c>
      <x:c r="B22" s="27" t="str">
        <x:v>Española Hogar - Hogar Español</x:v>
      </x:c>
      <x:c r="C22" s="27" t="n">
        <x:v>1</x:v>
      </x:c>
      <x:c r="D22" s="32" t="n">
        <x:v>45838</x:v>
      </x:c>
      <x:c r="E22" s="27" t="str">
        <x:v>Sí</x:v>
      </x:c>
      <x:c r="F22" s="27" t="str">
        <x:v>Muy detallada</x:v>
      </x:c>
      <x:c r="G22" s="27" t="str">
        <x:v>Alta</x:v>
      </x:c>
      <x:c r="H22" s="27" t="str">
        <x:v>Personal / capacitación</x:v>
      </x:c>
      <x:c r="I22" s="27" t="str">
        <x:v>Hoy decae a ritmo acelerado. No hay personal suficiente ni debidamente calificado</x:v>
      </x:c>
      <x:c r="J22" s="27" t="str">
        <x:v>No</x:v>
      </x:c>
      <x:c r="K22" s="27" t="str"/>
      <x:c r="L22" s="27" t="str">
        <x:v>https://www.google.com/maps/contrib/103842950971502192306/place/ChIJO-shncwqoJURGSCraz2dD98/@-34.844189,-56.200747,18z/data=!4m6!1m5!8m4!1e1!2s103842950971502192306!3m1!1e1</x:v>
      </x:c>
      <x:c r="M22" s="27" t="str">
        <x:v>https://www.google.com/maps?cid=16073238482233532441</x:v>
      </x:c>
    </x:row>
    <x:row r="23" ht="58" customHeight="1">
      <x:c r="A23" s="27" t="str">
        <x:v>Montevideo</x:v>
      </x:c>
      <x:c r="B23" s="27" t="str">
        <x:v>Española Hogar - Hogar Español</x:v>
      </x:c>
      <x:c r="C23" s="27" t="n">
        <x:v>3</x:v>
      </x:c>
      <x:c r="D23" s="32" t="n">
        <x:v>45305</x:v>
      </x:c>
      <x:c r="E23" s="27" t="str">
        <x:v>No</x:v>
      </x:c>
      <x:c r="F23" s="27" t="str">
        <x:v>Muy detallada</x:v>
      </x:c>
      <x:c r="G23" s="27" t="str">
        <x:v>Media-baja</x:v>
      </x:c>
      <x:c r="H23" s="27" t="str">
        <x:v>Trato / cuidado; Alimentación / hidratación; Higiene / infraestructura; Supervisión / emergencias; Pertenencias</x:v>
      </x:c>
      <x:c r="I23" s="27" t="str">
        <x:v>Desde que lo tomó la Española, el hogar viene en picada; la comida limitada y de baja calidad</x:v>
      </x:c>
      <x:c r="J23" s="27" t="str">
        <x:v>No</x:v>
      </x:c>
      <x:c r="K23" s="27" t="str"/>
      <x:c r="L23" s="27" t="str">
        <x:v>https://www.google.com/maps/contrib/104078726139558901048/place/ChIJO-shncwqoJURGSCraz2dD98/@-34.844189,-56.200747,18z/data=!4m6!1m5!8m4!1e1!2s104078726139558901048!3m1!1e1</x:v>
      </x:c>
      <x:c r="M23" s="27" t="str">
        <x:v>https://www.google.com/maps?cid=16073238482233532441</x:v>
      </x:c>
    </x:row>
    <x:row r="24" ht="58" customHeight="1">
      <x:c r="A24" s="27" t="str">
        <x:v>Montevideo</x:v>
      </x:c>
      <x:c r="B24" s="27" t="str">
        <x:v>Española Hogar - Hogar Español</x:v>
      </x:c>
      <x:c r="C24" s="27" t="n">
        <x:v>3</x:v>
      </x:c>
      <x:c r="D24" s="32" t="n">
        <x:v>45118</x:v>
      </x:c>
      <x:c r="E24" s="27" t="str">
        <x:v>No</x:v>
      </x:c>
      <x:c r="F24" s="27" t="str">
        <x:v>Detallada</x:v>
      </x:c>
      <x:c r="G24" s="27" t="str">
        <x:v>Baja</x:v>
      </x:c>
      <x:c r="H24" s="27" t="str">
        <x:v>Alimentación / hidratación; Servicios clínicos / actividades</x:v>
      </x:c>
      <x:c r="I24" s="27" t="str">
        <x:v>No sirve para recuperación, aunque lo ofrece. La comida es limitada y mala. Hay pocos médicos.</x:v>
      </x:c>
      <x:c r="J24" s="27" t="str">
        <x:v>No</x:v>
      </x:c>
      <x:c r="K24" s="27" t="str"/>
      <x:c r="L24" s="27" t="str">
        <x:v>https://www.google.com/maps/contrib/107067639683684370569/place/ChIJO-shncwqoJURGSCraz2dD98/@-34.844189,-56.200747,18z/data=!4m6!1m5!8m4!1e1!2s107067639683684370569!3m1!1e1</x:v>
      </x:c>
      <x:c r="M24" s="27" t="str">
        <x:v>https://www.google.com/maps?cid=16073238482233532441</x:v>
      </x:c>
    </x:row>
    <x:row r="25" ht="58" customHeight="1">
      <x:c r="A25" s="27" t="str">
        <x:v>Montevideo</x:v>
      </x:c>
      <x:c r="B25" s="27" t="str">
        <x:v>Le Refuge, Residencial Tercera Edad, Adulto Mayor, Veteranos, Montevideo</x:v>
      </x:c>
      <x:c r="C25" s="27" t="n">
        <x:v>1</x:v>
      </x:c>
      <x:c r="D25" s="32" t="n">
        <x:v>45942</x:v>
      </x:c>
      <x:c r="E25" s="27" t="str">
        <x:v>Sí</x:v>
      </x:c>
      <x:c r="F25" s="27" t="str">
        <x:v>Detallada</x:v>
      </x:c>
      <x:c r="G25" s="27" t="str">
        <x:v>Media</x:v>
      </x:c>
      <x:c r="H25" s="27" t="str">
        <x:v>Cobros / contrato</x:v>
      </x:c>
      <x:c r="I25" s="27" t="str">
        <x:v>Te cobran un mes entero por quedarte solo un día más antes de mudarte de residencial</x:v>
      </x:c>
      <x:c r="J25" s="27" t="str">
        <x:v>No</x:v>
      </x:c>
      <x:c r="K25" s="27" t="str"/>
      <x:c r="L25" s="27" t="str">
        <x:v>https://www.google.com/maps/contrib/115351454446004450189/place/ChIJnW2rCD2An5URi5EXI29SPEs/@-34.887654,-56.189988,18z/data=!4m6!1m5!8m4!1e1!2s115351454446004450189!3m1!1e1</x:v>
      </x:c>
      <x:c r="M25" s="27" t="str">
        <x:v>https://www.google.com/maps?cid=5421298688730829195</x:v>
      </x:c>
    </x:row>
    <x:row r="26" ht="58" customHeight="1">
      <x:c r="A26" s="27" t="str">
        <x:v>Montevideo</x:v>
      </x:c>
      <x:c r="B26" s="27" t="str">
        <x:v>Le Refuge, Residencial Tercera Edad, Adulto Mayor, Veteranos, Montevideo</x:v>
      </x:c>
      <x:c r="C26" s="27" t="n">
        <x:v>2</x:v>
      </x:c>
      <x:c r="D26" s="32" t="n">
        <x:v>45447</x:v>
      </x:c>
      <x:c r="E26" s="27" t="str">
        <x:v>No</x:v>
      </x:c>
      <x:c r="F26" s="27" t="str">
        <x:v>Detallada</x:v>
      </x:c>
      <x:c r="G26" s="27" t="str">
        <x:v>Baja</x:v>
      </x:c>
      <x:c r="H26" s="27" t="str">
        <x:v>Higiene / infraestructura</x:v>
      </x:c>
      <x:c r="I26" s="27" t="str">
        <x:v>Es frío; hay moho en los baños y algunas paredes</x:v>
      </x:c>
      <x:c r="J26" s="27" t="str">
        <x:v>No</x:v>
      </x:c>
      <x:c r="K26" s="27" t="str"/>
      <x:c r="L26" s="27" t="str">
        <x:v>https://www.google.com/maps/contrib/100647928759221764660/place/ChIJnW2rCD2An5URi5EXI29SPEs/@-34.887654,-56.189988,18z/data=!4m6!1m5!8m4!1e1!2s100647928759221764660!3m1!1e1</x:v>
      </x:c>
      <x:c r="M26" s="27" t="str">
        <x:v>https://www.google.com/maps?cid=5421298688730829195</x:v>
      </x:c>
    </x:row>
    <x:row r="27" ht="58" customHeight="1">
      <x:c r="A27" s="27" t="str">
        <x:v>Montevideo</x:v>
      </x:c>
      <x:c r="B27" s="27" t="str">
        <x:v>Residencial Geriátrico Mis Nietos</x:v>
      </x:c>
      <x:c r="C27" s="27" t="n">
        <x:v>2</x:v>
      </x:c>
      <x:c r="D27" s="32" t="n">
        <x:v>44802</x:v>
      </x:c>
      <x:c r="E27" s="27" t="str">
        <x:v>No</x:v>
      </x:c>
      <x:c r="F27" s="27" t="str">
        <x:v>Detallada</x:v>
      </x:c>
      <x:c r="G27" s="27" t="str">
        <x:v>Baja</x:v>
      </x:c>
      <x:c r="H27" s="27" t="str">
        <x:v>Trato / cuidado</x:v>
      </x:c>
      <x:c r="I27" s="27" t="str">
        <x:v>Falta de empatía, humanidad y sensibilidad por parte de la persona encargada del residencial</x:v>
      </x:c>
      <x:c r="J27" s="27" t="str">
        <x:v>No</x:v>
      </x:c>
      <x:c r="K27" s="27" t="str"/>
      <x:c r="L27" s="27" t="str">
        <x:v>https://www.google.com/maps/contrib/100742417470268041460/place/ChIJc01Bx4aBn5URvrJWakBYmKU/@-34.872158,-56.197726,18z/data=!4m6!1m5!8m4!1e1!2s100742417470268041460!3m1!1e1</x:v>
      </x:c>
      <x:c r="M27" s="27" t="str">
        <x:v>https://www.google.com/maps?cid=11932384246403347134</x:v>
      </x:c>
    </x:row>
    <x:row r="28" ht="58" customHeight="1">
      <x:c r="A28" s="27" t="str">
        <x:v>Montevideo</x:v>
      </x:c>
      <x:c r="B28" s="27" t="str">
        <x:v>Residencial La Casa de Lea</x:v>
      </x:c>
      <x:c r="C28" s="27" t="n">
        <x:v>1</x:v>
      </x:c>
      <x:c r="D28" s="32" t="n">
        <x:v>45346</x:v>
      </x:c>
      <x:c r="E28" s="27" t="str">
        <x:v>No</x:v>
      </x:c>
      <x:c r="F28" s="27" t="str">
        <x:v>Muy detallada</x:v>
      </x:c>
      <x:c r="G28" s="27" t="str">
        <x:v>Media-baja</x:v>
      </x:c>
      <x:c r="H28" s="27" t="str">
        <x:v>Personal / capacitación; Alimentación / hidratación; Servicios clínicos / actividades</x:v>
      </x:c>
      <x:c r="I28" s="27" t="str">
        <x:v>Pésima experiencia: no dan lo básico; trato, comida y servicios deficientes</x:v>
      </x:c>
      <x:c r="J28" s="27" t="str">
        <x:v>No</x:v>
      </x:c>
      <x:c r="K28" s="27" t="str"/>
      <x:c r="L28" s="27" t="str">
        <x:v>https://www.google.com/maps/contrib/114115229665880689829/place/ChIJW1ikQfGAn5UR4u0eH5pj-wE/@-34.879719,-56.152050,18z/data=!4m6!1m5!8m4!1e1!2s114115229665880689829!3m1!1e1</x:v>
      </x:c>
      <x:c r="M28" s="27" t="str">
        <x:v>https://www.google.com/maps?cid=142817326790536674</x:v>
      </x:c>
    </x:row>
    <x:row r="29" ht="58" customHeight="1">
      <x:c r="A29" s="27" t="str">
        <x:v>Montevideo</x:v>
      </x:c>
      <x:c r="B29" s="27" t="str">
        <x:v>Residencial La Casa de Lea</x:v>
      </x:c>
      <x:c r="C29" s="27" t="n">
        <x:v>1</x:v>
      </x:c>
      <x:c r="D29" s="32" t="n">
        <x:v>44779</x:v>
      </x:c>
      <x:c r="E29" s="27" t="str">
        <x:v>No</x:v>
      </x:c>
      <x:c r="F29" s="27" t="str">
        <x:v>Muy detallada</x:v>
      </x:c>
      <x:c r="G29" s="27" t="str">
        <x:v>Media-baja</x:v>
      </x:c>
      <x:c r="H29" s="27" t="str">
        <x:v>Personal / capacitación; Pertenencias</x:v>
      </x:c>
      <x:c r="I29" s="27" t="str">
        <x:v>La experiencia fue horrible. Mi suegra entró caminando y en menos de dos meses falleció.</x:v>
      </x:c>
      <x:c r="J29" s="27" t="str">
        <x:v>Sí</x:v>
      </x:c>
      <x:c r="K29" s="27" t="str"/>
      <x:c r="L29" s="27" t="str">
        <x:v>https://www.google.com/maps/contrib/109819956263842583555/place/ChIJW1ikQfGAn5UR4u0eH5pj-wE/@-34.879719,-56.152050,18z/data=!4m6!1m5!8m4!1e1!2s109819956263842583555!3m1!1e1</x:v>
      </x:c>
      <x:c r="M29" s="27" t="str">
        <x:v>https://www.google.com/maps?cid=142817326790536674</x:v>
      </x:c>
    </x:row>
    <x:row r="30" ht="58" customHeight="1">
      <x:c r="A30" s="27" t="str">
        <x:v>Montevideo</x:v>
      </x:c>
      <x:c r="B30" s="27" t="str">
        <x:v>RESIDENCIAL NAHUEL PRADO</x:v>
      </x:c>
      <x:c r="C30" s="27" t="n">
        <x:v>1</x:v>
      </x:c>
      <x:c r="D30" s="32" t="n">
        <x:v>45180</x:v>
      </x:c>
      <x:c r="E30" s="27" t="str">
        <x:v>No</x:v>
      </x:c>
      <x:c r="F30" s="27" t="str">
        <x:v>Muy detallada</x:v>
      </x:c>
      <x:c r="G30" s="27" t="str">
        <x:v>Media-baja</x:v>
      </x:c>
      <x:c r="H30" s="27" t="str">
        <x:v>Personal / capacitación</x:v>
      </x:c>
      <x:c r="I30" s="27" t="str">
        <x:v>Las referentes deberían ocupar su puesto por experiencia y trabajo</x:v>
      </x:c>
      <x:c r="J30" s="27" t="str">
        <x:v>Sí</x:v>
      </x:c>
      <x:c r="K30" s="27" t="str">
        <x:v>Comentario de gestión laboral; no describe directamente el cuidado de un residente.</x:v>
      </x:c>
      <x:c r="L30" s="27" t="str">
        <x:v>https://www.google.com/maps/contrib/115392436708621536216/place/ChIJ7T6iHI_VoZURifqrc5HOqEo/@-34.863639,-56.204035,18z/data=!4m6!1m5!8m4!1e1!2s115392436708621536216!3m1!1e1</x:v>
      </x:c>
      <x:c r="M30" s="27" t="str">
        <x:v>https://www.google.com/maps?cid=5379776879000287881</x:v>
      </x:c>
    </x:row>
    <x:row r="31" ht="58" customHeight="1">
      <x:c r="A31" s="27" t="str">
        <x:v>Montevideo</x:v>
      </x:c>
      <x:c r="B31" s="27" t="str">
        <x:v>Solaz Residencial para la tercera edad</x:v>
      </x:c>
      <x:c r="C31" s="27" t="n">
        <x:v>1</x:v>
      </x:c>
      <x:c r="D31" s="32" t="n">
        <x:v>45424</x:v>
      </x:c>
      <x:c r="E31" s="27" t="str">
        <x:v>No</x:v>
      </x:c>
      <x:c r="F31" s="27" t="str">
        <x:v>Muy detallada</x:v>
      </x:c>
      <x:c r="G31" s="27" t="str">
        <x:v>Media-baja</x:v>
      </x:c>
      <x:c r="H31" s="27" t="str">
        <x:v>Trato / cuidado; Personal / capacitación; Higiene / infraestructura; Supervisión / emergencias; Dignidad / privacidad; Cobros / contrato</x:v>
      </x:c>
      <x:c r="I31" s="27" t="str">
        <x:v>Al principio nos recibieron con una sonrisa; después empezó el trato de mala manera</x:v>
      </x:c>
      <x:c r="J31" s="27" t="str">
        <x:v>Sí</x:v>
      </x:c>
      <x:c r="K31" s="27" t="str"/>
      <x:c r="L31" s="27" t="str">
        <x:v>https://www.google.com/maps/contrib/103150473705032847844/place/ChIJgc9ou7eBn5URS2tl7MIjeTw/@-34.910152,-56.179215,18z/data=!4m6!1m5!8m4!1e1!2s103150473705032847844!3m1!1e1</x:v>
      </x:c>
      <x:c r="M31" s="27" t="str">
        <x:v>https://www.google.com/maps?cid=4357553434554362699</x:v>
      </x:c>
    </x:row>
    <x:row r="32" ht="58" customHeight="1">
      <x:c r="A32" s="27" t="str">
        <x:v>Montevideo</x:v>
      </x:c>
      <x:c r="B32" s="27" t="str">
        <x:v>Solaz Residencial para la tercera edad</x:v>
      </x:c>
      <x:c r="C32" s="27" t="n">
        <x:v>1</x:v>
      </x:c>
      <x:c r="D32" s="32" t="n">
        <x:v>43948</x:v>
      </x:c>
      <x:c r="E32" s="27" t="str">
        <x:v>No</x:v>
      </x:c>
      <x:c r="F32" s="27" t="str">
        <x:v>Muy detallada</x:v>
      </x:c>
      <x:c r="G32" s="27" t="str">
        <x:v>Media-baja</x:v>
      </x:c>
      <x:c r="H32" s="27" t="str">
        <x:v>Alimentación / hidratación; Higiene / infraestructura</x:v>
      </x:c>
      <x:c r="I32" s="27" t="str">
        <x:v>La comida espantosa y el aseo a las personas malo</x:v>
      </x:c>
      <x:c r="J32" s="27" t="str">
        <x:v>Sí</x:v>
      </x:c>
      <x:c r="K32" s="27" t="str"/>
      <x:c r="L32" s="27" t="str">
        <x:v>https://www.google.com/maps/contrib/109201918833929346424/place/ChIJgc9ou7eBn5URS2tl7MIjeTw/@-34.910152,-56.179215,18z/data=!4m6!1m5!8m4!1e1!2s109201918833929346424!3m1!1e1</x:v>
      </x:c>
      <x:c r="M32" s="27" t="str">
        <x:v>https://www.google.com/maps?cid=4357553434554362699</x:v>
      </x:c>
    </x:row>
  </x:sheetData>
  <x:mergeCells>
    <x:mergeCell ref="A1:M1"/>
    <x:mergeCell ref="A2:M2"/>
  </x:mergeCells>
  <x:conditionalFormatting sqref="E5:E32">
    <x:cfRule type="expression" dxfId="3" priority="1">
      <x:formula>$E5="Sí"</x:formula>
    </x:cfRule>
  </x:conditionalFormatting>
  <x:conditionalFormatting sqref="G5:G32">
    <x:cfRule type="expression" dxfId="4" priority="2">
      <x:formula>$G5="Alta"</x:formula>
    </x:cfRule>
  </x:conditionalFormatting>
  <x:conditionalFormatting sqref="C5:C32">
    <x:cfRule type="colorScale" priority="3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059ca8f324c47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9" hidden="0" customWidth="1"/>
    <x:col min="3" max="3" width="10" hidden="0" customWidth="1"/>
    <x:col min="4" max="4" width="12" hidden="0" customWidth="1"/>
    <x:col min="5" max="5" width="15" hidden="0" customWidth="1"/>
    <x:col min="6" max="6" width="9" hidden="0" customWidth="1"/>
    <x:col min="7" max="7" width="14" hidden="0" customWidth="1"/>
    <x:col min="8" max="8" width="21" hidden="0" customWidth="1"/>
    <x:col min="9" max="9" width="17" hidden="0" customWidth="1"/>
    <x:col min="10" max="10" width="16" hidden="0" customWidth="1"/>
    <x:col min="11" max="11" width="48" hidden="0" customWidth="1"/>
    <x:col min="12" max="12" width="48" hidden="0" customWidth="1"/>
    <x:col min="13" max="13" width="31" hidden="0" customWidth="1"/>
  </x:cols>
  <x:sheetData>
    <x:row r="1" ht="30" customHeight="1">
      <x:c r="A1" s="4" t="str">
        <x:v>Preselección revisada — Google Maps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8" customHeight="1">
      <x:c r="A2" s="11" t="str">
        <x:v>Fichas priorizadas por rating, volumen de reseñas y cobertura territorial. Una calificación baja sin texto no genera alerta.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>
      <x:c r="A4" s="20" t="str">
        <x:v>Departamento</x:v>
      </x:c>
      <x:c r="B4" s="20" t="str">
        <x:v>Lugar</x:v>
      </x:c>
      <x:c r="C4" s="20" t="str">
        <x:v>Rating</x:v>
      </x:c>
      <x:c r="D4" s="20" t="str">
        <x:v>Total reseñas</x:v>
      </x:c>
      <x:c r="E4" s="20" t="str">
        <x:v>Reseñas extraídas</x:v>
      </x:c>
      <x:c r="F4" s="20" t="str">
        <x:v>1–2★</x:v>
      </x:c>
      <x:c r="G4" s="20" t="str">
        <x:v>1–2★ con texto</x:v>
      </x:c>
      <x:c r="H4" s="20" t="str">
        <x:v>Resultado</x:v>
      </x:c>
      <x:c r="I4" s="20" t="str">
        <x:v>Aportes restringidos</x:v>
      </x:c>
      <x:c r="J4" s="20" t="str">
        <x:v>Estado extracción</x:v>
      </x:c>
      <x:c r="K4" s="20" t="str">
        <x:v>Nota técnica</x:v>
      </x:c>
      <x:c r="L4" s="20" t="str">
        <x:v>URL Google Maps</x:v>
      </x:c>
      <x:c r="M4" s="20" t="str">
        <x:v>Place ID</x:v>
      </x:c>
    </x:row>
    <x:row r="5" ht="48" customHeight="1">
      <x:c r="A5" s="27" t="str">
        <x:v>Artigas</x:v>
      </x:c>
      <x:c r="B5" s="27" t="str">
        <x:v>ACUDE Artigas</x:v>
      </x:c>
      <x:c r="C5" s="30" t="n">
        <x:v>4.7</x:v>
      </x:c>
      <x:c r="D5" s="27" t="n">
        <x:v>6</x:v>
      </x:c>
      <x:c r="E5" s="27" t="n">
        <x:v>6</x:v>
      </x:c>
      <x:c r="F5" s="27" t="n">
        <x:v>0</x:v>
      </x:c>
      <x:c r="G5" s="27" t="n">
        <x:v>0</x:v>
      </x:c>
      <x:c r="H5" s="27" t="str">
        <x:v>Sin señal textual</x:v>
      </x:c>
      <x:c r="I5" s="27" t="str">
        <x:v>Sí</x:v>
      </x:c>
      <x:c r="J5" s="27" t="str">
        <x:v>success</x:v>
      </x:c>
      <x:c r="K5" s="27" t="str"/>
      <x:c r="L5" s="27" t="str">
        <x:v>https://www.google.com/maps?cid=4841949487988854477</x:v>
      </x:c>
      <x:c r="M5" s="27" t="str">
        <x:v>ChIJaT9FL4gJq5URzc7102cPMkM</x:v>
      </x:c>
    </x:row>
    <x:row r="6" ht="48" customHeight="1">
      <x:c r="A6" s="27" t="str">
        <x:v>Canelones</x:v>
      </x:c>
      <x:c r="B6" s="27" t="str">
        <x:v>Hogar De Ancianos</x:v>
      </x:c>
      <x:c r="C6" s="30" t="n">
        <x:v>1</x:v>
      </x:c>
      <x:c r="D6" s="27" t="n">
        <x:v>1</x:v>
      </x:c>
      <x:c r="E6" s="27" t="n">
        <x:v>1</x:v>
      </x:c>
      <x:c r="F6" s="27" t="n">
        <x:v>1</x:v>
      </x:c>
      <x:c r="G6" s="27" t="n">
        <x:v>1</x:v>
      </x:c>
      <x:c r="H6" s="27" t="str">
        <x:v>Baja-media</x:v>
      </x:c>
      <x:c r="I6" s="27" t="str">
        <x:v>No</x:v>
      </x:c>
      <x:c r="J6" s="27" t="str">
        <x:v>success</x:v>
      </x:c>
      <x:c r="K6" s="27" t="str"/>
      <x:c r="L6" s="27" t="str">
        <x:v>https://www.google.com/maps?cid=14122991824970259729</x:v>
      </x:c>
      <x:c r="M6" s="27" t="str">
        <x:v>ChIJ____IBq0oZURER0Z7Tzy_sM</x:v>
      </x:c>
    </x:row>
    <x:row r="7" ht="48" customHeight="1">
      <x:c r="A7" s="27" t="str">
        <x:v>Canelones</x:v>
      </x:c>
      <x:c r="B7" s="27" t="str">
        <x:v>Hogar JOSMAR</x:v>
      </x:c>
      <x:c r="C7" s="30" t="n">
        <x:v>1</x:v>
      </x:c>
      <x:c r="D7" s="27" t="n">
        <x:v>1</x:v>
      </x:c>
      <x:c r="E7" s="27" t="n">
        <x:v>1</x:v>
      </x:c>
      <x:c r="F7" s="27" t="n">
        <x:v>1</x:v>
      </x:c>
      <x:c r="G7" s="27" t="n">
        <x:v>0</x:v>
      </x:c>
      <x:c r="H7" s="27" t="str">
        <x:v>Sin señal textual</x:v>
      </x:c>
      <x:c r="I7" s="27" t="str">
        <x:v>No</x:v>
      </x:c>
      <x:c r="J7" s="27" t="str">
        <x:v>success</x:v>
      </x:c>
      <x:c r="K7" s="27" t="str">
        <x:v>Única calificación de una estrella, sin texto y de 2019.</x:v>
      </x:c>
      <x:c r="L7" s="27" t="str">
        <x:v>https://www.google.com/maps?cid=2916655089286614425</x:v>
      </x:c>
      <x:c r="M7" s="27" t="str">
        <x:v>ChIJwTAFpT20oZURmY1DwVkKeig</x:v>
      </x:c>
    </x:row>
    <x:row r="8" ht="48" customHeight="1">
      <x:c r="A8" s="27" t="str">
        <x:v>Canelones</x:v>
      </x:c>
      <x:c r="B8" s="27" t="str">
        <x:v>Residencial Las Rosas</x:v>
      </x:c>
      <x:c r="C8" s="30" t="n">
        <x:v>2.5</x:v>
      </x:c>
      <x:c r="D8" s="27" t="n">
        <x:v>2</x:v>
      </x:c>
      <x:c r="E8" s="27" t="n">
        <x:v>2</x:v>
      </x:c>
      <x:c r="F8" s="27" t="n">
        <x:v>1</x:v>
      </x:c>
      <x:c r="G8" s="27" t="n">
        <x:v>0</x:v>
      </x:c>
      <x:c r="H8" s="27" t="str">
        <x:v>Sin señal textual</x:v>
      </x:c>
      <x:c r="I8" s="27" t="str">
        <x:v>Sí</x:v>
      </x:c>
      <x:c r="J8" s="27" t="str">
        <x:v>success</x:v>
      </x:c>
      <x:c r="K8" s="27" t="str">
        <x:v>Hay calificación baja, pero no texto calificante.</x:v>
      </x:c>
      <x:c r="L8" s="27" t="str">
        <x:v>https://www.google.com/maps?cid=13153834117866934884</x:v>
      </x:c>
      <x:c r="M8" s="27" t="str">
        <x:v>ChIJrUNKdP-1oZURZFLfLXDOi7Y</x:v>
      </x:c>
    </x:row>
    <x:row r="9" ht="48" customHeight="1">
      <x:c r="A9" s="27" t="str">
        <x:v>Canelones</x:v>
      </x:c>
      <x:c r="B9" s="27" t="str">
        <x:v>Hogar Esperanza</x:v>
      </x:c>
      <x:c r="C9" s="30" t="n">
        <x:v>3</x:v>
      </x:c>
      <x:c r="D9" s="27" t="n">
        <x:v>4</x:v>
      </x:c>
      <x:c r="E9" s="27" t="n">
        <x:v>4</x:v>
      </x:c>
      <x:c r="F9" s="27" t="n">
        <x:v>2</x:v>
      </x:c>
      <x:c r="G9" s="27" t="n">
        <x:v>0</x:v>
      </x:c>
      <x:c r="H9" s="27" t="str">
        <x:v>Sin señal textual</x:v>
      </x:c>
      <x:c r="I9" s="27" t="str">
        <x:v>No</x:v>
      </x:c>
      <x:c r="J9" s="27" t="str">
        <x:v>success</x:v>
      </x:c>
      <x:c r="K9" s="27" t="str">
        <x:v>Dos calificaciones bajas sin texto.</x:v>
      </x:c>
      <x:c r="L9" s="27" t="str">
        <x:v>https://www.google.com/maps?cid=7111158818742796592</x:v>
      </x:c>
      <x:c r="M9" s="27" t="str">
        <x:v>ChIJuatniwG1oZURMAGN5ETpr2I</x:v>
      </x:c>
    </x:row>
    <x:row r="10" ht="48" customHeight="1">
      <x:c r="A10" s="27" t="str">
        <x:v>Canelones</x:v>
      </x:c>
      <x:c r="B10" s="27" t="str">
        <x:v>Residencial Nace una Estrella</x:v>
      </x:c>
      <x:c r="C10" s="30" t="n">
        <x:v>3</x:v>
      </x:c>
      <x:c r="D10" s="27" t="n">
        <x:v>2</x:v>
      </x:c>
      <x:c r="E10" s="27" t="n">
        <x:v>2</x:v>
      </x:c>
      <x:c r="F10" s="27" t="n">
        <x:v>1</x:v>
      </x:c>
      <x:c r="G10" s="27" t="n">
        <x:v>1</x:v>
      </x:c>
      <x:c r="H10" s="27" t="str">
        <x:v>Media</x:v>
      </x:c>
      <x:c r="I10" s="27" t="str">
        <x:v>Sí</x:v>
      </x:c>
      <x:c r="J10" s="27" t="str">
        <x:v>success</x:v>
      </x:c>
      <x:c r="K10" s="27" t="str"/>
      <x:c r="L10" s="27" t="str">
        <x:v>https://www.google.com/maps?cid=2729890608997885872</x:v>
      </x:c>
      <x:c r="M10" s="27" t="str">
        <x:v>ChIJFfI1E3T3n5URsGf-mAuF4iU</x:v>
      </x:c>
    </x:row>
    <x:row r="11" ht="48" customHeight="1">
      <x:c r="A11" s="27" t="str">
        <x:v>Canelones</x:v>
      </x:c>
      <x:c r="B11" s="27" t="str">
        <x:v>Residencial El Ombu</x:v>
      </x:c>
      <x:c r="C11" s="30" t="n">
        <x:v>3</x:v>
      </x:c>
      <x:c r="D11" s="27" t="n">
        <x:v>1</x:v>
      </x:c>
      <x:c r="E11" s="27" t="n">
        <x:v>1</x:v>
      </x:c>
      <x:c r="F11" s="27" t="n">
        <x:v>0</x:v>
      </x:c>
      <x:c r="G11" s="27" t="n">
        <x:v>0</x:v>
      </x:c>
      <x:c r="H11" s="27" t="str">
        <x:v>Sin señal textual</x:v>
      </x:c>
      <x:c r="I11" s="27" t="str">
        <x:v>No</x:v>
      </x:c>
      <x:c r="J11" s="27" t="str">
        <x:v>success</x:v>
      </x:c>
      <x:c r="K11" s="27" t="str"/>
      <x:c r="L11" s="27" t="str">
        <x:v>https://www.google.com/maps?cid=3456930944897313485</x:v>
      </x:c>
      <x:c r="M11" s="27" t="str">
        <x:v>ChIJX-qLDfC3oZURzeqo92B8-S8</x:v>
      </x:c>
    </x:row>
    <x:row r="12" ht="48" customHeight="1">
      <x:c r="A12" s="27" t="str">
        <x:v>Canelones</x:v>
      </x:c>
      <x:c r="B12" s="27" t="str">
        <x:v>Residencial Retiro Golden Age</x:v>
      </x:c>
      <x:c r="C12" s="30" t="n">
        <x:v>3.6</x:v>
      </x:c>
      <x:c r="D12" s="27" t="n">
        <x:v>56</x:v>
      </x:c>
      <x:c r="E12" s="27" t="n">
        <x:v>56</x:v>
      </x:c>
      <x:c r="F12" s="27" t="n">
        <x:v>19</x:v>
      </x:c>
      <x:c r="G12" s="27" t="n">
        <x:v>2</x:v>
      </x:c>
      <x:c r="H12" s="27" t="str">
        <x:v>Media</x:v>
      </x:c>
      <x:c r="I12" s="27" t="str">
        <x:v>Sí</x:v>
      </x:c>
      <x:c r="J12" s="27" t="str">
        <x:v>success</x:v>
      </x:c>
      <x:c r="K12" s="27" t="str"/>
      <x:c r="L12" s="27" t="str">
        <x:v>https://www.google.com/maps?cid=13962970092151525279</x:v>
      </x:c>
      <x:c r="M12" s="27" t="str">
        <x:v>ChIJh59DGvQpoJURn08Y4FFvxsE</x:v>
      </x:c>
    </x:row>
    <x:row r="13" ht="48" customHeight="1">
      <x:c r="A13" s="27" t="str">
        <x:v>Canelones</x:v>
      </x:c>
      <x:c r="B13" s="27" t="str">
        <x:v>Residencial Noa</x:v>
      </x:c>
      <x:c r="C13" s="30" t="n">
        <x:v>4.1</x:v>
      </x:c>
      <x:c r="D13" s="27" t="n">
        <x:v>23</x:v>
      </x:c>
      <x:c r="E13" s="27" t="n">
        <x:v>23</x:v>
      </x:c>
      <x:c r="F13" s="27" t="n">
        <x:v>5</x:v>
      </x:c>
      <x:c r="G13" s="27" t="n">
        <x:v>2</x:v>
      </x:c>
      <x:c r="H13" s="27" t="str">
        <x:v>Baja histórica</x:v>
      </x:c>
      <x:c r="I13" s="27" t="str">
        <x:v>Sí</x:v>
      </x:c>
      <x:c r="J13" s="27" t="str">
        <x:v>success</x:v>
      </x:c>
      <x:c r="K13" s="27" t="str"/>
      <x:c r="L13" s="27" t="str">
        <x:v>https://www.google.com/maps?cid=7546045956203658815</x:v>
      </x:c>
      <x:c r="M13" s="27" t="str">
        <x:v>ChIJA3Dn9KTSoZURP75KBtHwuGg</x:v>
      </x:c>
    </x:row>
    <x:row r="14" ht="48" customHeight="1">
      <x:c r="A14" s="27" t="str">
        <x:v>Canelones</x:v>
      </x:c>
      <x:c r="B14" s="27" t="str">
        <x:v>Residencial "El Hogar"</x:v>
      </x:c>
      <x:c r="C14" s="30" t="n">
        <x:v>4.4</x:v>
      </x:c>
      <x:c r="D14" s="27" t="n">
        <x:v>15</x:v>
      </x:c>
      <x:c r="E14" s="27" t="n">
        <x:v>15</x:v>
      </x:c>
      <x:c r="F14" s="27" t="n">
        <x:v>2</x:v>
      </x:c>
      <x:c r="G14" s="27" t="n">
        <x:v>2</x:v>
      </x:c>
      <x:c r="H14" s="27" t="str">
        <x:v>Alta</x:v>
      </x:c>
      <x:c r="I14" s="27" t="str">
        <x:v>No</x:v>
      </x:c>
      <x:c r="J14" s="27" t="str">
        <x:v>success</x:v>
      </x:c>
      <x:c r="K14" s="27" t="str"/>
      <x:c r="L14" s="27" t="str">
        <x:v>https://www.google.com/maps?cid=1074362564215374963</x:v>
      </x:c>
      <x:c r="M14" s="27" t="str">
        <x:v>ChIJyfuJ9Z-Jn5URcwQJWA_n6A4</x:v>
      </x:c>
    </x:row>
    <x:row r="15" ht="48" customHeight="1">
      <x:c r="A15" s="27" t="str">
        <x:v>Canelones</x:v>
      </x:c>
      <x:c r="B15" s="27" t="str">
        <x:v>Residencial Achiras</x:v>
      </x:c>
      <x:c r="C15" s="30" t="n">
        <x:v>4.5</x:v>
      </x:c>
      <x:c r="D15" s="27" t="n">
        <x:v>35</x:v>
      </x:c>
      <x:c r="E15" s="27" t="n">
        <x:v>35</x:v>
      </x:c>
      <x:c r="F15" s="27" t="n">
        <x:v>1</x:v>
      </x:c>
      <x:c r="G15" s="27" t="n">
        <x:v>1</x:v>
      </x:c>
      <x:c r="H15" s="27" t="str">
        <x:v>Baja</x:v>
      </x:c>
      <x:c r="I15" s="27" t="str">
        <x:v>No</x:v>
      </x:c>
      <x:c r="J15" s="27" t="str">
        <x:v>success</x:v>
      </x:c>
      <x:c r="K15" s="27" t="str"/>
      <x:c r="L15" s="27" t="str">
        <x:v>https://www.google.com/maps?cid=9202654619635229431</x:v>
      </x:c>
      <x:c r="M15" s="27" t="str">
        <x:v>ChIJafAM0M2Jn5UR9yL3aZ5ltn8</x:v>
      </x:c>
    </x:row>
    <x:row r="16" ht="48" customHeight="1">
      <x:c r="A16" s="27" t="str">
        <x:v>Canelones</x:v>
      </x:c>
      <x:c r="B16" s="27" t="str">
        <x:v>Residencial Puentecasa</x:v>
      </x:c>
      <x:c r="C16" s="30" t="n">
        <x:v>4.6</x:v>
      </x:c>
      <x:c r="D16" s="27" t="n">
        <x:v>18</x:v>
      </x:c>
      <x:c r="E16" s="27" t="n">
        <x:v>0</x:v>
      </x:c>
      <x:c r="F16" s="27" t="n">
        <x:v>0</x:v>
      </x:c>
      <x:c r="G16" s="27" t="n">
        <x:v>0</x:v>
      </x:c>
      <x:c r="H16" s="27" t="str">
        <x:v>Información insuficiente</x:v>
      </x:c>
      <x:c r="I16" s="27" t="str">
        <x:v>Sí</x:v>
      </x:c>
      <x:c r="J16" s="27" t="str">
        <x:v>error</x:v>
      </x:c>
      <x:c r="K16" s="27" t="str">
        <x:v>No se completó la extracción estructurada; requiere apertura manual.</x:v>
      </x:c>
      <x:c r="L16" s="27" t="str">
        <x:v>https://www.google.com/maps?cid=8286344587697819280</x:v>
      </x:c>
      <x:c r="M16" s="27" t="str">
        <x:v>ChIJT2a9Ayv0n5URkI415H8C_3I</x:v>
      </x:c>
    </x:row>
    <x:row r="17" ht="48" customHeight="1">
      <x:c r="A17" s="27" t="str">
        <x:v>Canelones</x:v>
      </x:c>
      <x:c r="B17" s="27" t="str">
        <x:v>Residencial adulto mayor Luz del Sol</x:v>
      </x:c>
      <x:c r="C17" s="30" t="n">
        <x:v>4.6</x:v>
      </x:c>
      <x:c r="D17" s="27" t="n">
        <x:v>16</x:v>
      </x:c>
      <x:c r="E17" s="27" t="n">
        <x:v>0</x:v>
      </x:c>
      <x:c r="F17" s="27" t="n">
        <x:v>0</x:v>
      </x:c>
      <x:c r="G17" s="27" t="n">
        <x:v>0</x:v>
      </x:c>
      <x:c r="H17" s="27" t="str">
        <x:v>Información insuficiente</x:v>
      </x:c>
      <x:c r="I17" s="27" t="str">
        <x:v>Sí</x:v>
      </x:c>
      <x:c r="J17" s="27" t="str">
        <x:v>error</x:v>
      </x:c>
      <x:c r="K17" s="27" t="str">
        <x:v>No se completó la extracción estructurada; requiere apertura manual.</x:v>
      </x:c>
      <x:c r="L17" s="27" t="str">
        <x:v>https://www.google.com/maps?cid=13738910906295890505</x:v>
      </x:c>
      <x:c r="M17" s="27" t="str">
        <x:v>ChIJyVxxeLGJn5URSbKBaq1qqr4</x:v>
      </x:c>
    </x:row>
    <x:row r="18" ht="48" customHeight="1">
      <x:c r="A18" s="27" t="str">
        <x:v>Durazno</x:v>
      </x:c>
      <x:c r="B18" s="27" t="str">
        <x:v>Tu hogar</x:v>
      </x:c>
      <x:c r="C18" s="30" t="n">
        <x:v>5</x:v>
      </x:c>
      <x:c r="D18" s="27" t="n">
        <x:v>4</x:v>
      </x:c>
      <x:c r="E18" s="27" t="n">
        <x:v>4</x:v>
      </x:c>
      <x:c r="F18" s="27" t="n">
        <x:v>0</x:v>
      </x:c>
      <x:c r="G18" s="27" t="n">
        <x:v>0</x:v>
      </x:c>
      <x:c r="H18" s="27" t="str">
        <x:v>Sin señal textual</x:v>
      </x:c>
      <x:c r="I18" s="27" t="str">
        <x:v>Sí</x:v>
      </x:c>
      <x:c r="J18" s="27" t="str">
        <x:v>success</x:v>
      </x:c>
      <x:c r="K18" s="27" t="str"/>
      <x:c r="L18" s="27" t="str">
        <x:v>https://www.google.com/maps?cid=13456618165727747444</x:v>
      </x:c>
      <x:c r="M18" s="27" t="str">
        <x:v>ChIJP8RMBLnBppURdF1F7uyCv7o</x:v>
      </x:c>
    </x:row>
    <x:row r="19" ht="48" customHeight="1">
      <x:c r="A19" s="27" t="str">
        <x:v>Montevideo</x:v>
      </x:c>
      <x:c r="B19" s="27" t="str">
        <x:v>Centro del Adulto Mayor (CAM) | Residencial Carrasco</x:v>
      </x:c>
      <x:c r="C19" s="30" t="n">
        <x:v>3.4</x:v>
      </x:c>
      <x:c r="D19" s="27" t="n">
        <x:v>10</x:v>
      </x:c>
      <x:c r="E19" s="27" t="n">
        <x:v>10</x:v>
      </x:c>
      <x:c r="F19" s="27" t="n">
        <x:v>4</x:v>
      </x:c>
      <x:c r="G19" s="27" t="n">
        <x:v>3</x:v>
      </x:c>
      <x:c r="H19" s="27" t="str">
        <x:v>Media-alta</x:v>
      </x:c>
      <x:c r="I19" s="27" t="str">
        <x:v>No</x:v>
      </x:c>
      <x:c r="J19" s="27" t="str">
        <x:v>success</x:v>
      </x:c>
      <x:c r="K19" s="27" t="str">
        <x:v>Dos de tres textos recientes son casi idénticos.</x:v>
      </x:c>
      <x:c r="L19" s="27" t="str">
        <x:v>https://www.google.com/maps?cid=18110637366805736861</x:v>
      </x:c>
      <x:c r="M19" s="27" t="str">
        <x:v>ChIJfdqmaGCGn5URnS1fGLvoVfs</x:v>
      </x:c>
    </x:row>
    <x:row r="20" ht="48" customHeight="1">
      <x:c r="A20" s="27" t="str">
        <x:v>Montevideo</x:v>
      </x:c>
      <x:c r="B20" s="27" t="str">
        <x:v>Residencial La Casa de Lea</x:v>
      </x:c>
      <x:c r="C20" s="30" t="n">
        <x:v>3.4</x:v>
      </x:c>
      <x:c r="D20" s="27" t="n">
        <x:v>5</x:v>
      </x:c>
      <x:c r="E20" s="27" t="n">
        <x:v>5</x:v>
      </x:c>
      <x:c r="F20" s="27" t="n">
        <x:v>2</x:v>
      </x:c>
      <x:c r="G20" s="27" t="n">
        <x:v>2</x:v>
      </x:c>
      <x:c r="H20" s="27" t="str">
        <x:v>Baja histórica</x:v>
      </x:c>
      <x:c r="I20" s="27" t="str">
        <x:v>Sí</x:v>
      </x:c>
      <x:c r="J20" s="27" t="str">
        <x:v>success</x:v>
      </x:c>
      <x:c r="K20" s="27" t="str"/>
      <x:c r="L20" s="27" t="str">
        <x:v>https://www.google.com/maps?cid=142817326790536674</x:v>
      </x:c>
      <x:c r="M20" s="27" t="str">
        <x:v>ChIJW1ikQfGAn5UR4u0eH5pj-wE</x:v>
      </x:c>
    </x:row>
    <x:row r="21" ht="48" customHeight="1">
      <x:c r="A21" s="27" t="str">
        <x:v>Montevideo</x:v>
      </x:c>
      <x:c r="B21" s="27" t="str">
        <x:v>Española Hogar - Hogar Español</x:v>
      </x:c>
      <x:c r="C21" s="30" t="n">
        <x:v>3.8</x:v>
      </x:c>
      <x:c r="D21" s="27" t="n">
        <x:v>51</x:v>
      </x:c>
      <x:c r="E21" s="27" t="n">
        <x:v>51</x:v>
      </x:c>
      <x:c r="F21" s="27" t="n">
        <x:v>11</x:v>
      </x:c>
      <x:c r="G21" s="27" t="n">
        <x:v>5</x:v>
      </x:c>
      <x:c r="H21" s="27" t="str">
        <x:v>Alta</x:v>
      </x:c>
      <x:c r="I21" s="27" t="str">
        <x:v>No</x:v>
      </x:c>
      <x:c r="J21" s="27" t="str">
        <x:v>success</x:v>
      </x:c>
      <x:c r="K21" s="27" t="str"/>
      <x:c r="L21" s="27" t="str">
        <x:v>https://www.google.com/maps?cid=16073238482233532441</x:v>
      </x:c>
      <x:c r="M21" s="27" t="str">
        <x:v>ChIJO-shncwqoJURGSCraz2dD98</x:v>
      </x:c>
    </x:row>
    <x:row r="22" ht="48" customHeight="1">
      <x:c r="A22" s="27" t="str">
        <x:v>Montevideo</x:v>
      </x:c>
      <x:c r="B22" s="27" t="str">
        <x:v>Le Refuge, Residencial Tercera Edad, Adulto Mayor, Veteranos, Montevideo</x:v>
      </x:c>
      <x:c r="C22" s="30" t="n">
        <x:v>4.1</x:v>
      </x:c>
      <x:c r="D22" s="27" t="n">
        <x:v>8</x:v>
      </x:c>
      <x:c r="E22" s="27" t="n">
        <x:v>8</x:v>
      </x:c>
      <x:c r="F22" s="27" t="n">
        <x:v>2</x:v>
      </x:c>
      <x:c r="G22" s="27" t="n">
        <x:v>2</x:v>
      </x:c>
      <x:c r="H22" s="27" t="str">
        <x:v>Baja-media</x:v>
      </x:c>
      <x:c r="I22" s="27" t="str">
        <x:v>Sí</x:v>
      </x:c>
      <x:c r="J22" s="27" t="str">
        <x:v>success</x:v>
      </x:c>
      <x:c r="K22" s="27" t="str"/>
      <x:c r="L22" s="27" t="str">
        <x:v>https://www.google.com/maps?cid=5421298688730829195</x:v>
      </x:c>
      <x:c r="M22" s="27" t="str">
        <x:v>ChIJnW2rCD2An5URi5EXI29SPEs</x:v>
      </x:c>
    </x:row>
    <x:row r="23" ht="48" customHeight="1">
      <x:c r="A23" s="27" t="str">
        <x:v>Montevideo</x:v>
      </x:c>
      <x:c r="B23" s="27" t="str">
        <x:v>Hogar Marsella</x:v>
      </x:c>
      <x:c r="C23" s="30" t="n">
        <x:v>4.2</x:v>
      </x:c>
      <x:c r="D23" s="27" t="n">
        <x:v>18</x:v>
      </x:c>
      <x:c r="E23" s="27" t="n">
        <x:v>0</x:v>
      </x:c>
      <x:c r="F23" s="27" t="n">
        <x:v>0</x:v>
      </x:c>
      <x:c r="G23" s="27" t="n">
        <x:v>0</x:v>
      </x:c>
      <x:c r="H23" s="27" t="str">
        <x:v>Información insuficiente</x:v>
      </x:c>
      <x:c r="I23" s="27" t="str">
        <x:v>Sí</x:v>
      </x:c>
      <x:c r="J23" s="27" t="str">
        <x:v>success</x:v>
      </x:c>
      <x:c r="K23" s="27" t="str">
        <x:v>La exportación no devolvió el bloque de reseñas.</x:v>
      </x:c>
      <x:c r="L23" s="27" t="str">
        <x:v>https://www.google.com/maps?cid=14695239009515313939</x:v>
      </x:c>
      <x:c r="M23" s="27" t="str">
        <x:v>ChIJmbbKaQiBn5URE5ufOwX678s</x:v>
      </x:c>
    </x:row>
    <x:row r="24" ht="48" customHeight="1">
      <x:c r="A24" s="27" t="str">
        <x:v>Montevideo</x:v>
      </x:c>
      <x:c r="B24" s="27" t="str">
        <x:v>RESIDENCIAL NAHUEL PRADO</x:v>
      </x:c>
      <x:c r="C24" s="30" t="n">
        <x:v>4.2</x:v>
      </x:c>
      <x:c r="D24" s="27" t="n">
        <x:v>17</x:v>
      </x:c>
      <x:c r="E24" s="27" t="n">
        <x:v>18</x:v>
      </x:c>
      <x:c r="F24" s="27" t="n">
        <x:v>3</x:v>
      </x:c>
      <x:c r="G24" s="27" t="n">
        <x:v>1</x:v>
      </x:c>
      <x:c r="H24" s="27" t="str">
        <x:v>No calificante</x:v>
      </x:c>
      <x:c r="I24" s="27" t="str">
        <x:v>Sí</x:v>
      </x:c>
      <x:c r="J24" s="27" t="str">
        <x:v>success</x:v>
      </x:c>
      <x:c r="K24" s="27" t="str">
        <x:v>El único texto negativo trata sobre gestión laboral, no cuidado de residentes.</x:v>
      </x:c>
      <x:c r="L24" s="27" t="str">
        <x:v>https://www.google.com/maps?cid=5379776879000287881</x:v>
      </x:c>
      <x:c r="M24" s="27" t="str">
        <x:v>ChIJ7T6iHI_VoZURifqrc5HOqEo</x:v>
      </x:c>
    </x:row>
    <x:row r="25" ht="48" customHeight="1">
      <x:c r="A25" s="27" t="str">
        <x:v>Montevideo</x:v>
      </x:c>
      <x:c r="B25" s="27" t="str">
        <x:v>Solaz Residencial para la tercera edad</x:v>
      </x:c>
      <x:c r="C25" s="30" t="n">
        <x:v>4.2</x:v>
      </x:c>
      <x:c r="D25" s="27" t="n">
        <x:v>13</x:v>
      </x:c>
      <x:c r="E25" s="27" t="n">
        <x:v>13</x:v>
      </x:c>
      <x:c r="F25" s="27" t="n">
        <x:v>2</x:v>
      </x:c>
      <x:c r="G25" s="27" t="n">
        <x:v>2</x:v>
      </x:c>
      <x:c r="H25" s="27" t="str">
        <x:v>Baja histórica</x:v>
      </x:c>
      <x:c r="I25" s="27" t="str">
        <x:v>No</x:v>
      </x:c>
      <x:c r="J25" s="27" t="str">
        <x:v>success</x:v>
      </x:c>
      <x:c r="K25" s="27" t="str"/>
      <x:c r="L25" s="27" t="str">
        <x:v>https://www.google.com/maps?cid=4357553434554362699</x:v>
      </x:c>
      <x:c r="M25" s="27" t="str">
        <x:v>ChIJgc9ou7eBn5URS2tl7MIjeTw</x:v>
      </x:c>
    </x:row>
    <x:row r="26" ht="48" customHeight="1">
      <x:c r="A26" s="27" t="str">
        <x:v>Montevideo</x:v>
      </x:c>
      <x:c r="B26" s="27" t="str">
        <x:v>Residencial Geriátrico Mis Nietos</x:v>
      </x:c>
      <x:c r="C26" s="30" t="n">
        <x:v>4.2</x:v>
      </x:c>
      <x:c r="D26" s="27" t="n">
        <x:v>9</x:v>
      </x:c>
      <x:c r="E26" s="27" t="n">
        <x:v>9</x:v>
      </x:c>
      <x:c r="F26" s="27" t="n">
        <x:v>2</x:v>
      </x:c>
      <x:c r="G26" s="27" t="n">
        <x:v>1</x:v>
      </x:c>
      <x:c r="H26" s="27" t="str">
        <x:v>Baja histórica</x:v>
      </x:c>
      <x:c r="I26" s="27" t="str">
        <x:v>Sí</x:v>
      </x:c>
      <x:c r="J26" s="27" t="str">
        <x:v>success</x:v>
      </x:c>
      <x:c r="K26" s="27" t="str"/>
      <x:c r="L26" s="27" t="str">
        <x:v>https://www.google.com/maps?cid=11932384246403347134</x:v>
      </x:c>
      <x:c r="M26" s="27" t="str">
        <x:v>ChIJc01Bx4aBn5URvrJWakBYmKU</x:v>
      </x:c>
    </x:row>
    <x:row r="27" ht="48" customHeight="1">
      <x:c r="A27" s="27" t="str">
        <x:v>Paysandú</x:v>
      </x:c>
      <x:c r="B27" s="27" t="str">
        <x:v>Residencia Lore&amp;Car</x:v>
      </x:c>
      <x:c r="C27" s="30" t="n">
        <x:v>4</x:v>
      </x:c>
      <x:c r="D27" s="27" t="n">
        <x:v>1</x:v>
      </x:c>
      <x:c r="E27" s="27" t="n">
        <x:v>1</x:v>
      </x:c>
      <x:c r="F27" s="27" t="n">
        <x:v>0</x:v>
      </x:c>
      <x:c r="G27" s="27" t="n">
        <x:v>0</x:v>
      </x:c>
      <x:c r="H27" s="27" t="str">
        <x:v>Sin señal textual</x:v>
      </x:c>
      <x:c r="I27" s="27" t="str">
        <x:v>Sí</x:v>
      </x:c>
      <x:c r="J27" s="27" t="str">
        <x:v>success</x:v>
      </x:c>
      <x:c r="K27" s="27" t="str"/>
      <x:c r="L27" s="27" t="str">
        <x:v>https://www.google.com/maps?cid=3758471218399022202</x:v>
      </x:c>
      <x:c r="M27" s="27" t="str">
        <x:v>ChIJHyZaw8_Jr5URegw076jFKDQ</x:v>
      </x:c>
    </x:row>
    <x:row r="28" ht="48" customHeight="1">
      <x:c r="A28" s="27" t="str">
        <x:v>Rocha</x:v>
      </x:c>
      <x:c r="B28" s="27" t="str">
        <x:v>Residencial Orquídeas</x:v>
      </x:c>
      <x:c r="C28" s="30" t="n">
        <x:v>3.7</x:v>
      </x:c>
      <x:c r="D28" s="27" t="n">
        <x:v>3</x:v>
      </x:c>
      <x:c r="E28" s="27" t="n">
        <x:v>3</x:v>
      </x:c>
      <x:c r="F28" s="27" t="n">
        <x:v>1</x:v>
      </x:c>
      <x:c r="G28" s="27" t="n">
        <x:v>0</x:v>
      </x:c>
      <x:c r="H28" s="27" t="str">
        <x:v>Sin señal textual</x:v>
      </x:c>
      <x:c r="I28" s="27" t="str">
        <x:v>Sí</x:v>
      </x:c>
      <x:c r="J28" s="27" t="str">
        <x:v>success</x:v>
      </x:c>
      <x:c r="K28" s="27" t="str">
        <x:v>La calificación baja no tiene texto.</x:v>
      </x:c>
      <x:c r="L28" s="27" t="str">
        <x:v>https://www.google.com/maps?cid=917120283294670248</x:v>
      </x:c>
      <x:c r="M28" s="27" t="str">
        <x:v>ChIJY9JA1Li7dJURqJ0V3glEugw</x:v>
      </x:c>
    </x:row>
    <x:row r="29" ht="48" customHeight="1">
      <x:c r="A29" s="27" t="str">
        <x:v>Rocha</x:v>
      </x:c>
      <x:c r="B29" s="27" t="str">
        <x:v>Las Espumillas</x:v>
      </x:c>
      <x:c r="C29" s="30" t="n">
        <x:v>4</x:v>
      </x:c>
      <x:c r="D29" s="27" t="n">
        <x:v>4</x:v>
      </x:c>
      <x:c r="E29" s="27" t="n">
        <x:v>4</x:v>
      </x:c>
      <x:c r="F29" s="27" t="n">
        <x:v>1</x:v>
      </x:c>
      <x:c r="G29" s="27" t="n">
        <x:v>0</x:v>
      </x:c>
      <x:c r="H29" s="27" t="str">
        <x:v>Sin señal textual</x:v>
      </x:c>
      <x:c r="I29" s="27" t="str">
        <x:v>Sí</x:v>
      </x:c>
      <x:c r="J29" s="27" t="str">
        <x:v>success</x:v>
      </x:c>
      <x:c r="K29" s="27" t="str">
        <x:v>La calificación baja no tiene texto.</x:v>
      </x:c>
      <x:c r="L29" s="27" t="str">
        <x:v>https://www.google.com/maps?cid=10432706856924057620</x:v>
      </x:c>
      <x:c r="M29" s="27" t="str">
        <x:v>ChIJb64fd8addJURFJC9jJxryJA</x:v>
      </x:c>
    </x:row>
    <x:row r="30" ht="48" customHeight="1">
      <x:c r="A30" s="27" t="str">
        <x:v>Tacuarembó</x:v>
      </x:c>
      <x:c r="B30" s="27" t="str">
        <x:v>ACUDE</x:v>
      </x:c>
      <x:c r="C30" s="30" t="n">
        <x:v>4.9</x:v>
      </x:c>
      <x:c r="D30" s="27" t="n">
        <x:v>23</x:v>
      </x:c>
      <x:c r="E30" s="27" t="n">
        <x:v>23</x:v>
      </x:c>
      <x:c r="F30" s="27" t="n">
        <x:v>0</x:v>
      </x:c>
      <x:c r="G30" s="27" t="n">
        <x:v>0</x:v>
      </x:c>
      <x:c r="H30" s="27" t="str">
        <x:v>Sin señal textual</x:v>
      </x:c>
      <x:c r="I30" s="27" t="str">
        <x:v>Sí</x:v>
      </x:c>
      <x:c r="J30" s="27" t="str">
        <x:v>success</x:v>
      </x:c>
      <x:c r="K30" s="27" t="str">
        <x:v>La reseña de tres estrellas visible era positiva, no calificante.</x:v>
      </x:c>
      <x:c r="L30" s="27" t="str">
        <x:v>https://www.google.com/maps?cid=6525495887632571565</x:v>
      </x:c>
      <x:c r="M30" s="27" t="str">
        <x:v>ChIJn8TpZFZPqJURrZycre83j1o</x:v>
      </x:c>
    </x:row>
    <x:row r="31" ht="48" customHeight="1">
      <x:c r="A31" s="27" t="str">
        <x:v>Treinta y Tres</x:v>
      </x:c>
      <x:c r="B31" s="27" t="str">
        <x:v>Hogar de Ancianos</x:v>
      </x:c>
      <x:c r="C31" s="30" t="n">
        <x:v>3.2</x:v>
      </x:c>
      <x:c r="D31" s="27" t="n">
        <x:v>10</x:v>
      </x:c>
      <x:c r="E31" s="27" t="n">
        <x:v>10</x:v>
      </x:c>
      <x:c r="F31" s="27" t="n">
        <x:v>3</x:v>
      </x:c>
      <x:c r="G31" s="27" t="n">
        <x:v>0</x:v>
      </x:c>
      <x:c r="H31" s="27" t="str">
        <x:v>Sin señal textual</x:v>
      </x:c>
      <x:c r="I31" s="27" t="str">
        <x:v>No</x:v>
      </x:c>
      <x:c r="J31" s="27" t="str">
        <x:v>success</x:v>
      </x:c>
      <x:c r="K31" s="27" t="str">
        <x:v>Tres calificaciones bajas sin texto.</x:v>
      </x:c>
      <x:c r="L31" s="27" t="str">
        <x:v>https://www.google.com/maps?cid=5490638644050159752</x:v>
      </x:c>
      <x:c r="M31" s="27" t="str">
        <x:v>ChIJS0_u16uSCZURiGikkMGqMkw</x:v>
      </x:c>
    </x:row>
    <x:row r="32" ht="48" customHeight="1">
      <x:c r="A32" s="27" t="str">
        <x:v>Treinta y Tres</x:v>
      </x:c>
      <x:c r="B32" s="27" t="str">
        <x:v>Hogar de ancianos</x:v>
      </x:c>
      <x:c r="C32" s="30" t="n">
        <x:v>3.5</x:v>
      </x:c>
      <x:c r="D32" s="27" t="n">
        <x:v>2</x:v>
      </x:c>
      <x:c r="E32" s="27" t="n">
        <x:v>2</x:v>
      </x:c>
      <x:c r="F32" s="27" t="n">
        <x:v>0</x:v>
      </x:c>
      <x:c r="G32" s="27" t="n">
        <x:v>0</x:v>
      </x:c>
      <x:c r="H32" s="27" t="str">
        <x:v>Sin señal textual</x:v>
      </x:c>
      <x:c r="I32" s="27" t="str">
        <x:v>Sí</x:v>
      </x:c>
      <x:c r="J32" s="27" t="str">
        <x:v>success</x:v>
      </x:c>
      <x:c r="K32" s="27" t="str">
        <x:v>La reseña de tres estrellas visible era positiva.</x:v>
      </x:c>
      <x:c r="L32" s="27" t="str">
        <x:v>https://www.google.com/maps?cid=3416928772905439460</x:v>
      </x:c>
      <x:c r="M32" s="27" t="str">
        <x:v>ChIJr8xsExvpC5UR5BDXg51eay8</x:v>
      </x:c>
    </x:row>
  </x:sheetData>
  <x:mergeCells>
    <x:mergeCell ref="A1:M1"/>
    <x:mergeCell ref="A2:M2"/>
  </x:mergeCells>
  <x:conditionalFormatting sqref="H5:H32">
    <x:cfRule type="expression" dxfId="5" priority="1">
      <x:formula>OR($H5="Alta",$H5="Media-alta")</x:formula>
    </x:cfRule>
    <x:cfRule type="expression" dxfId="6" priority="2">
      <x:formula>OR($H5="Media",$H5="Baja-media")</x:formula>
    </x:cfRule>
    <x:cfRule type="expression" dxfId="7" priority="3">
      <x:formula>$H5="Información insuficiente"</x:formula>
    </x:cfRule>
  </x:conditionalFormatting>
  <x:conditionalFormatting sqref="C5:C32">
    <x:cfRule type="dataBar" priority="4">
      <x:dataBar>
        <x:cfvo type="min"/>
        <x:cfvo type="max"/>
        <x:color rgb="FF0F6B78"/>
      </x:dataBar>
      <x:extLst>
        <x:ext xmlns:x14="http://schemas.microsoft.com/office/spreadsheetml/2009/9/main" uri="{B025F937-C7B1-47D3-B67F-A62EFF666E3E}">
          <x14:id>{F445AB47-F13B-E278-39F3-C244C4DF610B}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0ebbc8c3f484ab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F445AB47-F13B-E278-39F3-C244C4DF610B}">
            <x14:dataBar gradient="1">
              <x14:cfvo type="min"/>
              <x14:cfvo type="max"/>
              <x14:fillColor rgb="FF0F6B78"/>
            </x14:dataBar>
          </x14:cfRule>
          <xm:sqref>C5:C32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12" hidden="0" customWidth="1"/>
    <x:col min="4" max="4" width="19" hidden="0" customWidth="1"/>
    <x:col min="5" max="5" width="13" hidden="0" customWidth="1"/>
    <x:col min="6" max="6" width="15" hidden="0" customWidth="1"/>
    <x:col min="7" max="7" width="19" hidden="0" customWidth="1"/>
    <x:col min="8" max="8" width="19" hidden="0" customWidth="1"/>
    <x:col min="9" max="9" width="10" hidden="0" customWidth="1"/>
    <x:col min="10" max="10" width="15" hidden="0" customWidth="1"/>
    <x:col min="11" max="11" width="20" hidden="0" customWidth="1"/>
    <x:col min="12" max="12" width="18" hidden="0" customWidth="1"/>
    <x:col min="13" max="13" width="19" hidden="0" customWidth="1"/>
  </x:cols>
  <x:sheetData>
    <x:row r="1" ht="30" customHeight="1">
      <x:c r="A1" s="4" t="str">
        <x:v>Cobertura del barrido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8" customHeight="1">
      <x:c r="A2" s="11" t="str">
        <x:v>Descubrimiento de fichas relevantes en Google Maps y extracción dirigida de las fichas de menor rating o mayor interés para detectar señales negativas.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>
      <x:c r="A4" s="20" t="str">
        <x:v>Departamento</x:v>
      </x:c>
      <x:c r="B4" s="20" t="str">
        <x:v>Fichas relevantes</x:v>
      </x:c>
      <x:c r="C4" s="20" t="str">
        <x:v>Con rating</x:v>
      </x:c>
      <x:c r="D4" s="20" t="str">
        <x:v>Aportes restringidos</x:v>
      </x:c>
      <x:c r="E4" s="20" t="str">
        <x:v>Rating mínimo</x:v>
      </x:c>
      <x:c r="F4" s="20" t="str">
        <x:v>Fichas dirigidas</x:v>
      </x:c>
      <x:c r="G4" s="20" t="str">
        <x:v>Extracciones exitosas</x:v>
      </x:c>
      <x:c r="H4" s="20" t="str">
        <x:v>Reviews estructuradas</x:v>
      </x:c>
      <x:c r="I4" s="20" t="str">
        <x:v>1–2★</x:v>
      </x:c>
      <x:c r="J4" s="20" t="str">
        <x:v>1–2★ con texto</x:v>
      </x:c>
      <x:c r="K4" s="20" t="str">
        <x:v>Evidencias calificantes</x:v>
      </x:c>
      <x:c r="L4" s="20" t="str">
        <x:v>Evidencias recientes</x:v>
      </x:c>
      <x:c r="M4" s="20" t="str">
        <x:v>Señal media o mayor</x:v>
      </x:c>
    </x:row>
    <x:row r="5" ht="30" customHeight="1">
      <x:c r="A5" s="27" t="str">
        <x:v>Artigas</x:v>
      </x:c>
      <x:c r="B5" s="27" t="n">
        <x:v>8</x:v>
      </x:c>
      <x:c r="C5" s="27" t="n">
        <x:v>7</x:v>
      </x:c>
      <x:c r="D5" s="27" t="n">
        <x:v>5</x:v>
      </x:c>
      <x:c r="E5" s="30" t="n">
        <x:v>4.7</x:v>
      </x:c>
      <x:c r="F5" s="27" t="n">
        <x:v>1</x:v>
      </x:c>
      <x:c r="G5" s="27" t="n">
        <x:v>1</x:v>
      </x:c>
      <x:c r="H5" s="27" t="n">
        <x:v>6</x:v>
      </x:c>
      <x:c r="I5" s="27" t="n">
        <x:v>0</x:v>
      </x:c>
      <x:c r="J5" s="27" t="n">
        <x:v>0</x:v>
      </x:c>
      <x:c r="K5" s="27" t="n">
        <x:v>0</x:v>
      </x:c>
      <x:c r="L5" s="27" t="n">
        <x:v>0</x:v>
      </x:c>
      <x:c r="M5" s="27" t="n">
        <x:v>0</x:v>
      </x:c>
    </x:row>
    <x:row r="6" ht="30" customHeight="1">
      <x:c r="A6" s="27" t="str">
        <x:v>Canelones</x:v>
      </x:c>
      <x:c r="B6" s="27" t="n">
        <x:v>30</x:v>
      </x:c>
      <x:c r="C6" s="27" t="n">
        <x:v>28</x:v>
      </x:c>
      <x:c r="D6" s="27" t="n">
        <x:v>17</x:v>
      </x:c>
      <x:c r="E6" s="30" t="n">
        <x:v>1</x:v>
      </x:c>
      <x:c r="F6" s="27" t="n">
        <x:v>12</x:v>
      </x:c>
      <x:c r="G6" s="27" t="n">
        <x:v>10</x:v>
      </x:c>
      <x:c r="H6" s="27" t="n">
        <x:v>140</x:v>
      </x:c>
      <x:c r="I6" s="27" t="n">
        <x:v>33</x:v>
      </x:c>
      <x:c r="J6" s="27" t="n">
        <x:v>9</x:v>
      </x:c>
      <x:c r="K6" s="27" t="n">
        <x:v>9</x:v>
      </x:c>
      <x:c r="L6" s="27" t="n">
        <x:v>5</x:v>
      </x:c>
      <x:c r="M6" s="27" t="n">
        <x:v>3</x:v>
      </x:c>
    </x:row>
    <x:row r="7" ht="30" customHeight="1">
      <x:c r="A7" s="27" t="str">
        <x:v>Durazno</x:v>
      </x:c>
      <x:c r="B7" s="27" t="n">
        <x:v>14</x:v>
      </x:c>
      <x:c r="C7" s="27" t="n">
        <x:v>5</x:v>
      </x:c>
      <x:c r="D7" s="27" t="n">
        <x:v>10</x:v>
      </x:c>
      <x:c r="E7" s="30" t="n">
        <x:v>5</x:v>
      </x:c>
      <x:c r="F7" s="27" t="n">
        <x:v>1</x:v>
      </x:c>
      <x:c r="G7" s="27" t="n">
        <x:v>1</x:v>
      </x:c>
      <x:c r="H7" s="27" t="n">
        <x:v>4</x:v>
      </x:c>
      <x:c r="I7" s="27" t="n">
        <x:v>0</x:v>
      </x:c>
      <x:c r="J7" s="27" t="n">
        <x:v>0</x:v>
      </x:c>
      <x:c r="K7" s="27" t="n">
        <x:v>0</x:v>
      </x:c>
      <x:c r="L7" s="27" t="n">
        <x:v>0</x:v>
      </x:c>
      <x:c r="M7" s="27" t="n">
        <x:v>0</x:v>
      </x:c>
    </x:row>
    <x:row r="8" ht="30" customHeight="1">
      <x:c r="A8" s="27" t="str">
        <x:v>Montevideo</x:v>
      </x:c>
      <x:c r="B8" s="27" t="n">
        <x:v>40</x:v>
      </x:c>
      <x:c r="C8" s="27" t="n">
        <x:v>40</x:v>
      </x:c>
      <x:c r="D8" s="27" t="n">
        <x:v>28</x:v>
      </x:c>
      <x:c r="E8" s="30" t="n">
        <x:v>3.4</x:v>
      </x:c>
      <x:c r="F8" s="27" t="n">
        <x:v>8</x:v>
      </x:c>
      <x:c r="G8" s="27" t="n">
        <x:v>8</x:v>
      </x:c>
      <x:c r="H8" s="27" t="n">
        <x:v>114</x:v>
      </x:c>
      <x:c r="I8" s="27" t="n">
        <x:v>26</x:v>
      </x:c>
      <x:c r="J8" s="27" t="n">
        <x:v>16</x:v>
      </x:c>
      <x:c r="K8" s="27" t="n">
        <x:v>19</x:v>
      </x:c>
      <x:c r="L8" s="27" t="n">
        <x:v>10</x:v>
      </x:c>
      <x:c r="M8" s="27" t="n">
        <x:v>2</x:v>
      </x:c>
    </x:row>
    <x:row r="9" ht="30" customHeight="1">
      <x:c r="A9" s="27" t="str">
        <x:v>Paysandú</x:v>
      </x:c>
      <x:c r="B9" s="27" t="n">
        <x:v>17</x:v>
      </x:c>
      <x:c r="C9" s="27" t="n">
        <x:v>12</x:v>
      </x:c>
      <x:c r="D9" s="27" t="n">
        <x:v>11</x:v>
      </x:c>
      <x:c r="E9" s="30" t="n">
        <x:v>4</x:v>
      </x:c>
      <x:c r="F9" s="27" t="n">
        <x:v>1</x:v>
      </x:c>
      <x:c r="G9" s="27" t="n">
        <x:v>1</x:v>
      </x:c>
      <x:c r="H9" s="27" t="n">
        <x:v>1</x:v>
      </x:c>
      <x:c r="I9" s="27" t="n">
        <x:v>0</x:v>
      </x:c>
      <x:c r="J9" s="27" t="n">
        <x:v>0</x:v>
      </x:c>
      <x:c r="K9" s="27" t="n">
        <x:v>0</x:v>
      </x:c>
      <x:c r="L9" s="27" t="n">
        <x:v>0</x:v>
      </x:c>
      <x:c r="M9" s="27" t="n">
        <x:v>0</x:v>
      </x:c>
    </x:row>
    <x:row r="10" ht="30" customHeight="1">
      <x:c r="A10" s="27" t="str">
        <x:v>Rocha</x:v>
      </x:c>
      <x:c r="B10" s="27" t="n">
        <x:v>6</x:v>
      </x:c>
      <x:c r="C10" s="27" t="n">
        <x:v>4</x:v>
      </x:c>
      <x:c r="D10" s="27" t="n">
        <x:v>4</x:v>
      </x:c>
      <x:c r="E10" s="30" t="n">
        <x:v>3.7</x:v>
      </x:c>
      <x:c r="F10" s="27" t="n">
        <x:v>2</x:v>
      </x:c>
      <x:c r="G10" s="27" t="n">
        <x:v>2</x:v>
      </x:c>
      <x:c r="H10" s="27" t="n">
        <x:v>7</x:v>
      </x:c>
      <x:c r="I10" s="27" t="n">
        <x:v>2</x:v>
      </x:c>
      <x:c r="J10" s="27" t="n">
        <x:v>0</x:v>
      </x:c>
      <x:c r="K10" s="27" t="n">
        <x:v>0</x:v>
      </x:c>
      <x:c r="L10" s="27" t="n">
        <x:v>0</x:v>
      </x:c>
      <x:c r="M10" s="27" t="n">
        <x:v>0</x:v>
      </x:c>
    </x:row>
    <x:row r="11" ht="30" customHeight="1">
      <x:c r="A11" s="27" t="str">
        <x:v>Tacuarembó</x:v>
      </x:c>
      <x:c r="B11" s="27" t="n">
        <x:v>13</x:v>
      </x:c>
      <x:c r="C11" s="27" t="n">
        <x:v>5</x:v>
      </x:c>
      <x:c r="D11" s="27" t="n">
        <x:v>10</x:v>
      </x:c>
      <x:c r="E11" s="30" t="n">
        <x:v>4.9</x:v>
      </x:c>
      <x:c r="F11" s="27" t="n">
        <x:v>1</x:v>
      </x:c>
      <x:c r="G11" s="27" t="n">
        <x:v>1</x:v>
      </x:c>
      <x:c r="H11" s="27" t="n">
        <x:v>23</x:v>
      </x:c>
      <x:c r="I11" s="27" t="n">
        <x:v>0</x:v>
      </x:c>
      <x:c r="J11" s="27" t="n">
        <x:v>0</x:v>
      </x:c>
      <x:c r="K11" s="27" t="n">
        <x:v>0</x:v>
      </x:c>
      <x:c r="L11" s="27" t="n">
        <x:v>0</x:v>
      </x:c>
      <x:c r="M11" s="27" t="n">
        <x:v>0</x:v>
      </x:c>
    </x:row>
    <x:row r="12" ht="30" customHeight="1">
      <x:c r="A12" s="27" t="str">
        <x:v>Treinta y Tres</x:v>
      </x:c>
      <x:c r="B12" s="27" t="n">
        <x:v>7</x:v>
      </x:c>
      <x:c r="C12" s="27" t="n">
        <x:v>3</x:v>
      </x:c>
      <x:c r="D12" s="27" t="n">
        <x:v>4</x:v>
      </x:c>
      <x:c r="E12" s="30" t="n">
        <x:v>3.2</x:v>
      </x:c>
      <x:c r="F12" s="27" t="n">
        <x:v>2</x:v>
      </x:c>
      <x:c r="G12" s="27" t="n">
        <x:v>2</x:v>
      </x:c>
      <x:c r="H12" s="27" t="n">
        <x:v>12</x:v>
      </x:c>
      <x:c r="I12" s="27" t="n">
        <x:v>3</x:v>
      </x:c>
      <x:c r="J12" s="27" t="n">
        <x:v>0</x:v>
      </x:c>
      <x:c r="K12" s="27" t="n">
        <x:v>0</x:v>
      </x:c>
      <x:c r="L12" s="27" t="n">
        <x:v>0</x:v>
      </x:c>
      <x:c r="M12" s="27" t="n">
        <x:v>0</x:v>
      </x:c>
    </x:row>
    <x:row r="13">
      <x:c r="A13" s="34" t="str">
        <x:v>TOTAL / MÍNIMO</x:v>
      </x:c>
      <x:c r="B13" s="34" t="n">
        <x:f>SUM(B5:B12)</x:f>
        <x:v>135</x:v>
      </x:c>
      <x:c r="C13" s="34" t="n">
        <x:f>SUM(C5:C12)</x:f>
        <x:v>104</x:v>
      </x:c>
      <x:c r="D13" s="34" t="n">
        <x:f>SUM(D5:D12)</x:f>
        <x:v>89</x:v>
      </x:c>
      <x:c r="E13" s="36" t="n">
        <x:f>MIN(E5:E12)</x:f>
        <x:v>1</x:v>
      </x:c>
      <x:c r="F13" s="34" t="n">
        <x:f>SUM(F5:F12)</x:f>
        <x:v>28</x:v>
      </x:c>
      <x:c r="G13" s="34" t="n">
        <x:f>SUM(G5:G12)</x:f>
        <x:v>26</x:v>
      </x:c>
      <x:c r="H13" s="34" t="n">
        <x:f>SUM(H5:H12)</x:f>
        <x:v>307</x:v>
      </x:c>
      <x:c r="I13" s="34" t="n">
        <x:f>SUM(I5:I12)</x:f>
        <x:v>64</x:v>
      </x:c>
      <x:c r="J13" s="34" t="n">
        <x:f>SUM(J5:J12)</x:f>
        <x:v>25</x:v>
      </x:c>
      <x:c r="K13" s="34" t="n">
        <x:f>SUM(K5:K12)</x:f>
        <x:v>28</x:v>
      </x:c>
      <x:c r="L13" s="34" t="n">
        <x:f>SUM(L5:L12)</x:f>
        <x:v>15</x:v>
      </x:c>
      <x:c r="M13" s="34" t="n">
        <x:f>SUM(M5:M12)</x:f>
        <x:v>5</x:v>
      </x:c>
    </x:row>
  </x:sheetData>
  <x:mergeCells>
    <x:mergeCell ref="A1:M1"/>
    <x:mergeCell ref="A2:M2"/>
  </x:mergeCells>
  <x:conditionalFormatting sqref="K5:L12">
    <x:cfRule type="dataBar" priority="1">
      <x:dataBar>
        <x:cfvo type="min"/>
        <x:cfvo type="max"/>
        <x:color rgb="FFB23A48"/>
      </x:dataBar>
      <x:extLst>
        <x:ext xmlns:x14="http://schemas.microsoft.com/office/spreadsheetml/2009/9/main" uri="{B025F937-C7B1-47D3-B67F-A62EFF666E3E}">
          <x14:id>{370C4275-8863-F129-28AA-01F5B9A7C250}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a7beb8f1436446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70C4275-8863-F129-28AA-01F5B9A7C250}">
            <x14:dataBar gradient="1">
              <x14:cfvo type="min"/>
              <x14:cfvo type="max"/>
              <x14:fillColor rgb="FFB23A48"/>
            </x14:dataBar>
          </x14:cfRule>
          <xm:sqref>K5:L12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8" hidden="0" customWidth="1"/>
    <x:col min="3" max="3" width="50" hidden="0" customWidth="1"/>
  </x:cols>
  <x:sheetData>
    <x:row r="1" ht="30" customHeight="1">
      <x:c r="A1" s="4" t="str">
        <x:v>Metodología — sólo Google Maps</x:v>
      </x:c>
      <x:c r="B1" s="4"/>
      <x:c r="C1" s="4"/>
    </x:row>
    <x:row r="2" ht="38" customHeight="1">
      <x:c r="A2" s="11" t="str">
        <x:v>Reglas aplicadas al corte de Rocha, Montevideo, Canelones, Treinta y Tres, Tacuarembó, Durazno, Paysandú y Artigas.</x:v>
      </x:c>
      <x:c r="B2" s="11"/>
      <x:c r="C2" s="11"/>
    </x:row>
    <x:row r="4">
      <x:c r="A4" s="20" t="str">
        <x:v>Tema</x:v>
      </x:c>
      <x:c r="B4" s="20" t="str">
        <x:v>Regla aplicada</x:v>
      </x:c>
      <x:c r="C4" s="20" t="str">
        <x:v>Fuente / observación</x:v>
      </x:c>
    </x:row>
    <x:row r="5" ht="56" customHeight="1">
      <x:c r="A5" s="27" t="str">
        <x:v>Fuente de evidencia</x:v>
      </x:c>
      <x:c r="B5" s="27" t="str">
        <x:v>Sólo reseñas y metadatos de fichas de Google Maps. No se usaron Guía 1122, noticias, Facebook, Instagram ni otros directorios para asignar señales.</x:v>
      </x:c>
      <x:c r="C5" s="27" t="str">
        <x:v>Google Maps</x:v>
      </x:c>
    </x:row>
    <x:row r="6" ht="56" customHeight="1">
      <x:c r="A6" s="27" t="str">
        <x:v>Territorios</x:v>
      </x:c>
      <x:c r="B6" s="27" t="str">
        <x:v>Rocha, Montevideo, Canelones, Treinta y Tres, Tacuarembó, Durazno, Paysandú y Artigas.</x:v>
      </x:c>
      <x:c r="C6" s="27" t="str">
        <x:v>Alcance definido por el proyecto</x:v>
      </x:c>
    </x:row>
    <x:row r="7" ht="56" customHeight="1">
      <x:c r="A7" s="27" t="str">
        <x:v>Descubrimiento</x:v>
      </x:c>
      <x:c r="B7" s="27" t="str">
        <x:v>Cuatro búsquedas por departamento: residencial adultos mayores; hogar de ancianos; residencia geriátrica; residencial tercera edad.</x:v>
      </x:c>
      <x:c r="C7" s="27" t="str">
        <x:v>Google Maps</x:v>
      </x:c>
    </x:row>
    <x:row r="8" ht="56" customHeight="1">
      <x:c r="A8" s="27" t="str">
        <x:v>Fichas relevantes</x:v>
      </x:c>
      <x:c r="B8" s="27" t="str">
        <x:v>Se excluyeron residencias estudiantiles y resultados claramente ajenos al cuidado de personas mayores.</x:v>
      </x:c>
      <x:c r="C8" s="27" t="str">
        <x:v>135 fichas relevantes tras depuración</x:v>
      </x:c>
    </x:row>
    <x:row r="9" ht="56" customHeight="1">
      <x:c r="A9" s="27" t="str">
        <x:v>Preselección</x:v>
      </x:c>
      <x:c r="B9" s="27" t="str">
        <x:v>Se priorizaron ratings bajos, volumen de reseñas y al menos una ficha de control en departamentos sin ratings bajos.</x:v>
      </x:c>
      <x:c r="C9" s="27" t="str">
        <x:v>28 fichas dirigidas</x:v>
      </x:c>
    </x:row>
    <x:row r="10" ht="56" customHeight="1">
      <x:c r="A10" s="27" t="str">
        <x:v>Reseñas examinadas</x:v>
      </x:c>
      <x:c r="B10" s="27" t="str">
        <x:v>Se estructuraron las reseñas disponibles en las fichas seleccionadas y se conservaron enlaces de Google Maps por fila.</x:v>
      </x:c>
      <x:c r="C10" s="27" t="str">
        <x:v>307 reseñas estructuradas</x:v>
      </x:c>
    </x:row>
    <x:row r="11" ht="56" customHeight="1">
      <x:c r="A11" s="27" t="str">
        <x:v>Reseña calificante</x:v>
      </x:c>
      <x:c r="B11" s="27" t="str">
        <x:v>Toda reseña de 1–2 estrellas con texto; una de 3 estrellas sólo cuando describe un problema concreto. Las estrellas sin texto no generan alerta.</x:v>
      </x:c>
      <x:c r="C11" s="27" t="str">
        <x:v>28 evidencias calificantes</x:v>
      </x:c>
    </x:row>
    <x:row r="12" ht="56" customHeight="1">
      <x:c r="A12" s="27" t="str">
        <x:v>Recencia</x:v>
      </x:c>
      <x:c r="B12" s="27" t="str">
        <x:v>Ventana de 24 meses: desde 2024-08-04 hasta 2026-08-04.</x:v>
      </x:c>
      <x:c r="C12" s="27" t="str">
        <x:v>15 evidencias recientes</x:v>
      </x:c>
    </x:row>
    <x:row r="13" ht="56" customHeight="1">
      <x:c r="A13" s="27" t="str">
        <x:v>Exclusiones</x:v>
      </x:c>
      <x:c r="B13" s="27" t="str">
        <x:v>Consultas laborales, reseñas positivas con 3 estrellas, comentarios sin texto y problemas ajenos al cuidado no aumentan la señal.</x:v>
      </x:c>
      <x:c r="C13" s="27" t="str">
        <x:v>Aplicado fila por fila</x:v>
      </x:c>
    </x:row>
    <x:row r="14" ht="56" customHeight="1">
      <x:c r="A14" s="27" t="str">
        <x:v>Señal alta</x:v>
      </x:c>
      <x:c r="B14" s="27" t="str">
        <x:v>Patrón reciente, repetido y detallado, con más de una narrativa o tema coincidente.</x:v>
      </x:c>
      <x:c r="C14" s="27" t="str">
        <x:v>No equivale a hecho comprobado</x:v>
      </x:c>
    </x:row>
    <x:row r="15" ht="56" customHeight="1">
      <x:c r="A15" s="27" t="str">
        <x:v>Señal media</x:v>
      </x:c>
      <x:c r="B15" s="27" t="str">
        <x:v>Una reseña reciente grave y detallada, o más de una reseña negativa con corroboración limitada.</x:v>
      </x:c>
      <x:c r="C15" s="27" t="str">
        <x:v>Prioridad de verificación</x:v>
      </x:c>
    </x:row>
    <x:row r="16" ht="56" customHeight="1">
      <x:c r="A16" s="27" t="str">
        <x:v>Señal baja</x:v>
      </x:c>
      <x:c r="B16" s="27" t="str">
        <x:v>Evidencia aislada, antigua, vaga, no relacionada directamente con cuidado o disputada sin otras coincidencias.</x:v>
      </x:c>
      <x:c r="C16" s="27" t="str">
        <x:v>No publicar como acusación</x:v>
      </x:c>
    </x:row>
    <x:row r="17" ht="56" customHeight="1">
      <x:c r="A17" s="27" t="str">
        <x:v>Duplicados</x:v>
      </x:c>
      <x:c r="B17" s="27" t="str">
        <x:v>Textos casi idénticos publicados el mismo día se marcan como posible relato duplicado/relacionado y no se tratan automáticamente como independientes.</x:v>
      </x:c>
      <x:c r="C17" s="27" t="str">
        <x:v>Caso CAM</x:v>
      </x:c>
    </x:row>
    <x:row r="18" ht="56" customHeight="1">
      <x:c r="A18" s="27" t="str">
        <x:v>Restricción de aportes</x:v>
      </x:c>
      <x:c r="B18" s="27" t="str">
        <x:v>Google puede restringir u ocultar contribuciones en determinadas categorías de lugares. Esa restricción es una limitación de visibilidad y no una señal negativa.</x:v>
      </x:c>
      <x:c r="C18" s="27" t="str">
        <x:v>https://support.google.com/contributionpolicy/answer/13036130?hl=es-419</x:v>
      </x:c>
    </x:row>
    <x:row r="19" ht="56" customHeight="1">
      <x:c r="A19" s="27" t="str">
        <x:v>Advertencia reputacional</x:v>
      </x:c>
      <x:c r="B19" s="27" t="str">
        <x:v>Toda mención se redacta como alegación pública no verificada. No se afirma maltrato, ilegalidad ni incumplimiento como hecho.</x:v>
      </x:c>
      <x:c r="C19" s="27" t="str">
        <x:v>Criterio de seguridad editorial</x:v>
      </x:c>
    </x:row>
    <x:row r="20" ht="56" customHeight="1">
      <x:c r="A20" s="27" t="str">
        <x:v>Limitación principal</x:v>
      </x:c>
      <x:c r="B20" s="27" t="str">
        <x:v>Es un corte dirigido, no una auditoría exhaustiva de todas las reseñas de las 135 fichas. Ratings, conteos y textos pueden cambiar después de la fecha de consulta.</x:v>
      </x:c>
      <x:c r="C20" s="27" t="str">
        <x:v>Fecha de corte: 2026-08-04</x:v>
      </x:c>
    </x:row>
    <x:row r="21" ht="56" customHeight="1">
      <x:c r="A21" s="27" t="str">
        <x:v>Trazabilidad</x:v>
      </x:c>
      <x:c r="B21" s="27" t="str">
        <x:v>Cada evidencia incluye URL de la reseña y URL de la ficha de Google Maps, además de fecha, estrellas, fragmento breve y temas.</x:v>
      </x:c>
      <x:c r="C21" s="27" t="str">
        <x:v>Hoja Evidencia_reviews</x:v>
      </x:c>
    </x:row>
  </x:sheetData>
  <x:mergeCells>
    <x:mergeCell ref="A1:C1"/>
    <x:mergeCell ref="A2:C2"/>
  </x:mergeCells>
  <x:pageMargins left="0.7" right="0.7" top="0.75" bottom="0.75" header="0.3" footer="0.3"/>
</x:worksheet>
</file>